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概要" sheetId="1" state="visible" r:id="rId3"/>
    <sheet name="利用実績" sheetId="2" state="visible" r:id="rId4"/>
    <sheet name="業務削減効果" sheetId="3" state="visible" r:id="rId5"/>
    <sheet name="活用分野" sheetId="4" state="visible" r:id="rId6"/>
    <sheet name="課題" sheetId="5" state="visible" r:id="rId7"/>
    <sheet name="今後のビジョン" sheetId="6" state="visible" r:id="rId8"/>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C11" authorId="0">
      <text>
        <r>
          <rPr>
            <sz val="10"/>
            <rFont val="Arial"/>
            <family val="2"/>
          </rPr>
          <t xml:space="preserve">8</t>
        </r>
        <r>
          <rPr>
            <sz val="10"/>
            <rFont val="WenQuanYi Zen Hei"/>
            <family val="2"/>
          </rPr>
          <t xml:space="preserve">月の月次まとめより</t>
        </r>
        <r>
          <rPr>
            <sz val="10"/>
            <rFont val="Arial"/>
            <family val="2"/>
          </rPr>
          <t xml:space="preserve">(7</t>
        </r>
        <r>
          <rPr>
            <sz val="10"/>
            <rFont val="WenQuanYi Zen Hei"/>
            <family val="2"/>
          </rPr>
          <t xml:space="preserve">月利用者</t>
        </r>
        <r>
          <rPr>
            <sz val="10"/>
            <rFont val="Arial"/>
            <family val="2"/>
          </rPr>
          <t xml:space="preserve">590</t>
        </r>
        <r>
          <rPr>
            <sz val="10"/>
            <rFont val="WenQuanYi Zen Hei"/>
            <family val="2"/>
          </rPr>
          <t xml:space="preserve">人のうち</t>
        </r>
        <r>
          <rPr>
            <sz val="10"/>
            <rFont val="Arial"/>
            <family val="2"/>
          </rPr>
          <t xml:space="preserve">523</t>
        </r>
        <r>
          <rPr>
            <sz val="10"/>
            <rFont val="WenQuanYi Zen Hei"/>
            <family val="2"/>
          </rPr>
          <t xml:space="preserve">人</t>
        </r>
        <r>
          <rPr>
            <sz val="10"/>
            <rFont val="Arial"/>
            <family val="2"/>
          </rPr>
          <t xml:space="preserve">)</t>
        </r>
      </text>
    </comment>
  </commentList>
</comments>
</file>

<file path=xl/sharedStrings.xml><?xml version="1.0" encoding="utf-8"?>
<sst xmlns="http://schemas.openxmlformats.org/spreadsheetml/2006/main" count="163" uniqueCount="143">
  <si>
    <r>
      <rPr>
        <b val="true"/>
        <sz val="14"/>
        <rFont val="WenQuanYi Zen Hei"/>
        <family val="2"/>
      </rPr>
      <t xml:space="preserve">生成</t>
    </r>
    <r>
      <rPr>
        <b val="true"/>
        <sz val="14"/>
        <rFont val="游ゴシック"/>
        <family val="0"/>
        <charset val="1"/>
      </rPr>
      <t xml:space="preserve">AI(Qommons AI)</t>
    </r>
    <r>
      <rPr>
        <b val="true"/>
        <sz val="14"/>
        <rFont val="WenQuanYi Zen Hei"/>
        <family val="2"/>
      </rPr>
      <t xml:space="preserve">試行導入の結果と成果 </t>
    </r>
    <r>
      <rPr>
        <b val="true"/>
        <sz val="14"/>
        <rFont val="游ゴシック"/>
        <family val="0"/>
        <charset val="1"/>
      </rPr>
      <t xml:space="preserve">2026</t>
    </r>
    <r>
      <rPr>
        <b val="true"/>
        <sz val="14"/>
        <rFont val="WenQuanYi Zen Hei"/>
        <family val="2"/>
      </rPr>
      <t xml:space="preserve">年</t>
    </r>
    <r>
      <rPr>
        <b val="true"/>
        <sz val="14"/>
        <rFont val="游ゴシック"/>
        <family val="0"/>
        <charset val="1"/>
      </rPr>
      <t xml:space="preserve">7</t>
    </r>
    <r>
      <rPr>
        <b val="true"/>
        <sz val="14"/>
        <rFont val="WenQuanYi Zen Hei"/>
        <family val="2"/>
      </rPr>
      <t xml:space="preserve">月〜</t>
    </r>
    <r>
      <rPr>
        <b val="true"/>
        <sz val="14"/>
        <rFont val="游ゴシック"/>
        <family val="0"/>
        <charset val="1"/>
      </rPr>
      <t xml:space="preserve">9</t>
    </r>
    <r>
      <rPr>
        <b val="true"/>
        <sz val="14"/>
        <rFont val="WenQuanYi Zen Hei"/>
        <family val="2"/>
      </rPr>
      <t xml:space="preserve">月</t>
    </r>
  </si>
  <si>
    <t xml:space="preserve">函館市 総務部情報システム課</t>
  </si>
  <si>
    <t xml:space="preserve">主要指標</t>
  </si>
  <si>
    <r>
      <rPr>
        <b val="true"/>
        <sz val="11"/>
        <color rgb="FFFFFFFF"/>
        <rFont val="游ゴシック"/>
        <family val="0"/>
        <charset val="1"/>
      </rPr>
      <t xml:space="preserve">2026</t>
    </r>
    <r>
      <rPr>
        <b val="true"/>
        <sz val="11"/>
        <color rgb="FFFFFFFF"/>
        <rFont val="WenQuanYi Zen Hei"/>
        <family val="2"/>
      </rPr>
      <t xml:space="preserve">年</t>
    </r>
    <r>
      <rPr>
        <b val="true"/>
        <sz val="11"/>
        <color rgb="FFFFFFFF"/>
        <rFont val="游ゴシック"/>
        <family val="0"/>
        <charset val="1"/>
      </rPr>
      <t xml:space="preserve">7</t>
    </r>
    <r>
      <rPr>
        <b val="true"/>
        <sz val="11"/>
        <color rgb="FFFFFFFF"/>
        <rFont val="WenQuanYi Zen Hei"/>
        <family val="2"/>
      </rPr>
      <t xml:space="preserve">月</t>
    </r>
  </si>
  <si>
    <r>
      <rPr>
        <b val="true"/>
        <sz val="11"/>
        <color rgb="FFFFFFFF"/>
        <rFont val="游ゴシック"/>
        <family val="0"/>
        <charset val="1"/>
      </rPr>
      <t xml:space="preserve">2026</t>
    </r>
    <r>
      <rPr>
        <b val="true"/>
        <sz val="11"/>
        <color rgb="FFFFFFFF"/>
        <rFont val="WenQuanYi Zen Hei"/>
        <family val="2"/>
      </rPr>
      <t xml:space="preserve">年</t>
    </r>
    <r>
      <rPr>
        <b val="true"/>
        <sz val="11"/>
        <color rgb="FFFFFFFF"/>
        <rFont val="游ゴシック"/>
        <family val="0"/>
        <charset val="1"/>
      </rPr>
      <t xml:space="preserve">8</t>
    </r>
    <r>
      <rPr>
        <b val="true"/>
        <sz val="11"/>
        <color rgb="FFFFFFFF"/>
        <rFont val="WenQuanYi Zen Hei"/>
        <family val="2"/>
      </rPr>
      <t xml:space="preserve">月</t>
    </r>
  </si>
  <si>
    <r>
      <rPr>
        <b val="true"/>
        <sz val="11"/>
        <color rgb="FFFFFFFF"/>
        <rFont val="游ゴシック"/>
        <family val="0"/>
        <charset val="1"/>
      </rPr>
      <t xml:space="preserve">2026</t>
    </r>
    <r>
      <rPr>
        <b val="true"/>
        <sz val="11"/>
        <color rgb="FFFFFFFF"/>
        <rFont val="WenQuanYi Zen Hei"/>
        <family val="2"/>
      </rPr>
      <t xml:space="preserve">年</t>
    </r>
    <r>
      <rPr>
        <b val="true"/>
        <sz val="11"/>
        <color rgb="FFFFFFFF"/>
        <rFont val="游ゴシック"/>
        <family val="0"/>
        <charset val="1"/>
      </rPr>
      <t xml:space="preserve">9</t>
    </r>
    <r>
      <rPr>
        <b val="true"/>
        <sz val="11"/>
        <color rgb="FFFFFFFF"/>
        <rFont val="WenQuanYi Zen Hei"/>
        <family val="2"/>
      </rPr>
      <t xml:space="preserve">月</t>
    </r>
  </si>
  <si>
    <r>
      <rPr>
        <b val="true"/>
        <sz val="11"/>
        <color rgb="FFFFFFFF"/>
        <rFont val="游ゴシック"/>
        <family val="0"/>
        <charset val="1"/>
      </rPr>
      <t xml:space="preserve">3</t>
    </r>
    <r>
      <rPr>
        <b val="true"/>
        <sz val="11"/>
        <color rgb="FFFFFFFF"/>
        <rFont val="WenQuanYi Zen Hei"/>
        <family val="2"/>
      </rPr>
      <t xml:space="preserve">か月計</t>
    </r>
  </si>
  <si>
    <t xml:space="preserve">質問件数</t>
  </si>
  <si>
    <r>
      <rPr>
        <sz val="11"/>
        <rFont val="WenQuanYi Zen Hei"/>
        <family val="2"/>
      </rPr>
      <t xml:space="preserve">利用者数</t>
    </r>
    <r>
      <rPr>
        <sz val="11"/>
        <rFont val="游ゴシック"/>
        <family val="0"/>
        <charset val="1"/>
      </rPr>
      <t xml:space="preserve">(</t>
    </r>
    <r>
      <rPr>
        <sz val="11"/>
        <rFont val="WenQuanYi Zen Hei"/>
        <family val="2"/>
      </rPr>
      <t xml:space="preserve">人</t>
    </r>
    <r>
      <rPr>
        <sz val="11"/>
        <rFont val="游ゴシック"/>
        <family val="0"/>
        <charset val="1"/>
      </rPr>
      <t xml:space="preserve">)</t>
    </r>
  </si>
  <si>
    <t xml:space="preserve">利用率</t>
  </si>
  <si>
    <t xml:space="preserve">翌月も利用した割合</t>
  </si>
  <si>
    <t xml:space="preserve">—</t>
  </si>
  <si>
    <r>
      <rPr>
        <sz val="11"/>
        <rFont val="WenQuanYi Zen Hei"/>
        <family val="2"/>
      </rPr>
      <t xml:space="preserve">削減時間</t>
    </r>
    <r>
      <rPr>
        <sz val="11"/>
        <rFont val="游ゴシック"/>
        <family val="0"/>
        <charset val="1"/>
      </rPr>
      <t xml:space="preserve">(</t>
    </r>
    <r>
      <rPr>
        <sz val="11"/>
        <rFont val="WenQuanYi Zen Hei"/>
        <family val="2"/>
      </rPr>
      <t xml:space="preserve">時間</t>
    </r>
    <r>
      <rPr>
        <sz val="11"/>
        <rFont val="游ゴシック"/>
        <family val="0"/>
        <charset val="1"/>
      </rPr>
      <t xml:space="preserve">)</t>
    </r>
    <r>
      <rPr>
        <sz val="11"/>
        <rFont val="WenQuanYi Zen Hei"/>
        <family val="2"/>
      </rPr>
      <t xml:space="preserve">・標準</t>
    </r>
  </si>
  <si>
    <r>
      <rPr>
        <sz val="11"/>
        <rFont val="WenQuanYi Zen Hei"/>
        <family val="2"/>
      </rPr>
      <t xml:space="preserve">削減時間</t>
    </r>
    <r>
      <rPr>
        <sz val="11"/>
        <rFont val="游ゴシック"/>
        <family val="0"/>
        <charset val="1"/>
      </rPr>
      <t xml:space="preserve">(</t>
    </r>
    <r>
      <rPr>
        <sz val="11"/>
        <rFont val="WenQuanYi Zen Hei"/>
        <family val="2"/>
      </rPr>
      <t xml:space="preserve">時間</t>
    </r>
    <r>
      <rPr>
        <sz val="11"/>
        <rFont val="游ゴシック"/>
        <family val="0"/>
        <charset val="1"/>
      </rPr>
      <t xml:space="preserve">)</t>
    </r>
    <r>
      <rPr>
        <sz val="11"/>
        <rFont val="WenQuanYi Zen Hei"/>
        <family val="2"/>
      </rPr>
      <t xml:space="preserve">・控えめ</t>
    </r>
  </si>
  <si>
    <t xml:space="preserve">結果と成果</t>
  </si>
  <si>
    <r>
      <rPr>
        <sz val="11"/>
        <rFont val="WenQuanYi Zen Hei"/>
        <family val="2"/>
      </rPr>
      <t xml:space="preserve">・</t>
    </r>
    <r>
      <rPr>
        <sz val="11"/>
        <rFont val="游ゴシック"/>
        <family val="0"/>
        <charset val="1"/>
      </rPr>
      <t xml:space="preserve">3</t>
    </r>
    <r>
      <rPr>
        <sz val="11"/>
        <rFont val="WenQuanYi Zen Hei"/>
        <family val="2"/>
      </rPr>
      <t xml:space="preserve">か月で職員</t>
    </r>
    <r>
      <rPr>
        <sz val="11"/>
        <rFont val="游ゴシック"/>
        <family val="0"/>
        <charset val="1"/>
      </rPr>
      <t xml:space="preserve">713</t>
    </r>
    <r>
      <rPr>
        <sz val="11"/>
        <rFont val="WenQuanYi Zen Hei"/>
        <family val="2"/>
      </rPr>
      <t xml:space="preserve">人が利用し、利用率は</t>
    </r>
    <r>
      <rPr>
        <sz val="11"/>
        <rFont val="游ゴシック"/>
        <family val="0"/>
        <charset val="1"/>
      </rPr>
      <t xml:space="preserve">69.6%</t>
    </r>
    <r>
      <rPr>
        <sz val="11"/>
        <rFont val="WenQuanYi Zen Hei"/>
        <family val="2"/>
      </rPr>
      <t xml:space="preserve">から</t>
    </r>
    <r>
      <rPr>
        <sz val="11"/>
        <rFont val="游ゴシック"/>
        <family val="0"/>
        <charset val="1"/>
      </rPr>
      <t xml:space="preserve">76.0%</t>
    </r>
    <r>
      <rPr>
        <sz val="11"/>
        <rFont val="WenQuanYi Zen Hei"/>
        <family val="2"/>
      </rPr>
      <t xml:space="preserve">へ上昇。前月の利用者の約</t>
    </r>
    <r>
      <rPr>
        <sz val="11"/>
        <rFont val="游ゴシック"/>
        <family val="0"/>
        <charset val="1"/>
      </rPr>
      <t xml:space="preserve">9</t>
    </r>
    <r>
      <rPr>
        <sz val="11"/>
        <rFont val="WenQuanYi Zen Hei"/>
        <family val="2"/>
      </rPr>
      <t xml:space="preserve">割が翌月も利用しており、日常業務に定着した</t>
    </r>
  </si>
  <si>
    <r>
      <rPr>
        <sz val="11"/>
        <rFont val="WenQuanYi Zen Hei"/>
        <family val="2"/>
      </rPr>
      <t xml:space="preserve">・質問件数は月</t>
    </r>
    <r>
      <rPr>
        <sz val="11"/>
        <rFont val="游ゴシック"/>
        <family val="0"/>
        <charset val="1"/>
      </rPr>
      <t xml:space="preserve">26,604</t>
    </r>
    <r>
      <rPr>
        <sz val="11"/>
        <rFont val="WenQuanYi Zen Hei"/>
        <family val="2"/>
      </rPr>
      <t xml:space="preserve">件から</t>
    </r>
    <r>
      <rPr>
        <sz val="11"/>
        <rFont val="游ゴシック"/>
        <family val="0"/>
        <charset val="1"/>
      </rPr>
      <t xml:space="preserve">32,266</t>
    </r>
    <r>
      <rPr>
        <sz val="11"/>
        <rFont val="WenQuanYi Zen Hei"/>
        <family val="2"/>
      </rPr>
      <t xml:space="preserve">件へ増加</t>
    </r>
    <r>
      <rPr>
        <sz val="11"/>
        <rFont val="游ゴシック"/>
        <family val="0"/>
        <charset val="1"/>
      </rPr>
      <t xml:space="preserve">(+21%)</t>
    </r>
    <r>
      <rPr>
        <sz val="11"/>
        <rFont val="WenQuanYi Zen Hei"/>
        <family val="2"/>
      </rPr>
      <t xml:space="preserve">。</t>
    </r>
    <r>
      <rPr>
        <sz val="11"/>
        <rFont val="游ゴシック"/>
        <family val="0"/>
        <charset val="1"/>
      </rPr>
      <t xml:space="preserve">1</t>
    </r>
    <r>
      <rPr>
        <sz val="11"/>
        <rFont val="WenQuanYi Zen Hei"/>
        <family val="2"/>
      </rPr>
      <t xml:space="preserve">件</t>
    </r>
    <r>
      <rPr>
        <sz val="11"/>
        <rFont val="游ゴシック"/>
        <family val="0"/>
        <charset val="1"/>
      </rPr>
      <t xml:space="preserve">5</t>
    </r>
    <r>
      <rPr>
        <sz val="11"/>
        <rFont val="WenQuanYi Zen Hei"/>
        <family val="2"/>
      </rPr>
      <t xml:space="preserve">分の控えめな前提でも</t>
    </r>
    <r>
      <rPr>
        <sz val="11"/>
        <rFont val="游ゴシック"/>
        <family val="0"/>
        <charset val="1"/>
      </rPr>
      <t xml:space="preserve">3</t>
    </r>
    <r>
      <rPr>
        <sz val="11"/>
        <rFont val="WenQuanYi Zen Hei"/>
        <family val="2"/>
      </rPr>
      <t xml:space="preserve">か月で約</t>
    </r>
    <r>
      <rPr>
        <sz val="11"/>
        <rFont val="游ゴシック"/>
        <family val="0"/>
        <charset val="1"/>
      </rPr>
      <t xml:space="preserve">7,500</t>
    </r>
    <r>
      <rPr>
        <sz val="11"/>
        <rFont val="WenQuanYi Zen Hei"/>
        <family val="2"/>
      </rPr>
      <t xml:space="preserve">時間の業務時間削減に相当する</t>
    </r>
    <r>
      <rPr>
        <sz val="11"/>
        <rFont val="游ゴシック"/>
        <family val="0"/>
        <charset val="1"/>
      </rPr>
      <t xml:space="preserve">(</t>
    </r>
    <r>
      <rPr>
        <sz val="11"/>
        <rFont val="WenQuanYi Zen Hei"/>
        <family val="2"/>
      </rPr>
      <t xml:space="preserve">推計</t>
    </r>
    <r>
      <rPr>
        <sz val="11"/>
        <rFont val="游ゴシック"/>
        <family val="0"/>
        <charset val="1"/>
      </rPr>
      <t xml:space="preserve">)</t>
    </r>
  </si>
  <si>
    <t xml:space="preserve">・条例解釈・議会答弁・契約事務・資料作成など、正確性が求められる中核業務で活用が広がった</t>
  </si>
  <si>
    <r>
      <rPr>
        <sz val="11"/>
        <rFont val="WenQuanYi Zen Hei"/>
        <family val="2"/>
      </rPr>
      <t xml:space="preserve">・</t>
    </r>
    <r>
      <rPr>
        <sz val="11"/>
        <rFont val="游ゴシック"/>
        <family val="0"/>
        <charset val="1"/>
      </rPr>
      <t xml:space="preserve">9/17</t>
    </r>
    <r>
      <rPr>
        <sz val="11"/>
        <rFont val="WenQuanYi Zen Hei"/>
        <family val="2"/>
      </rPr>
      <t xml:space="preserve">のベンダー側による </t>
    </r>
    <r>
      <rPr>
        <sz val="11"/>
        <rFont val="游ゴシック"/>
        <family val="0"/>
        <charset val="1"/>
      </rPr>
      <t xml:space="preserve">Claude </t>
    </r>
    <r>
      <rPr>
        <sz val="11"/>
        <rFont val="WenQuanYi Zen Hei"/>
        <family val="2"/>
      </rPr>
      <t xml:space="preserve">系モデル停止で利用が約</t>
    </r>
    <r>
      <rPr>
        <sz val="11"/>
        <rFont val="游ゴシック"/>
        <family val="0"/>
        <charset val="1"/>
      </rPr>
      <t xml:space="preserve">3</t>
    </r>
    <r>
      <rPr>
        <sz val="11"/>
        <rFont val="WenQuanYi Zen Hei"/>
        <family val="2"/>
      </rPr>
      <t xml:space="preserve">割減少。モデルの選択肢と契約条件が効果を左右することが明らかになった</t>
    </r>
  </si>
  <si>
    <r>
      <rPr>
        <b val="true"/>
        <sz val="11"/>
        <rFont val="WenQuanYi Zen Hei"/>
        <family val="2"/>
      </rPr>
      <t xml:space="preserve">今後のビジョン</t>
    </r>
    <r>
      <rPr>
        <b val="true"/>
        <sz val="11"/>
        <rFont val="游ゴシック"/>
        <family val="0"/>
        <charset val="1"/>
      </rPr>
      <t xml:space="preserve">(</t>
    </r>
    <r>
      <rPr>
        <b val="true"/>
        <sz val="11"/>
        <rFont val="WenQuanYi Zen Hei"/>
        <family val="2"/>
      </rPr>
      <t xml:space="preserve">詳細は「今後のビジョン」シート</t>
    </r>
    <r>
      <rPr>
        <b val="true"/>
        <sz val="11"/>
        <rFont val="游ゴシック"/>
        <family val="0"/>
        <charset val="1"/>
      </rPr>
      <t xml:space="preserve">)</t>
    </r>
  </si>
  <si>
    <r>
      <rPr>
        <sz val="11"/>
        <rFont val="游ゴシック"/>
        <family val="0"/>
        <charset val="1"/>
      </rPr>
      <t xml:space="preserve">1. </t>
    </r>
    <r>
      <rPr>
        <sz val="11"/>
        <rFont val="WenQuanYi Zen Hei"/>
        <family val="2"/>
      </rPr>
      <t xml:space="preserve">利用者の拡大</t>
    </r>
    <r>
      <rPr>
        <sz val="11"/>
        <rFont val="游ゴシック"/>
        <family val="0"/>
        <charset val="1"/>
      </rPr>
      <t xml:space="preserve">(</t>
    </r>
    <r>
      <rPr>
        <sz val="11"/>
        <rFont val="WenQuanYi Zen Hei"/>
        <family val="2"/>
      </rPr>
      <t xml:space="preserve">アカウント</t>
    </r>
    <r>
      <rPr>
        <sz val="11"/>
        <rFont val="游ゴシック"/>
        <family val="0"/>
        <charset val="1"/>
      </rPr>
      <t xml:space="preserve">1,000</t>
    </r>
    <r>
      <rPr>
        <sz val="11"/>
        <rFont val="WenQuanYi Zen Hei"/>
        <family val="2"/>
      </rPr>
      <t xml:space="preserve">追加、有償プランへの移行を年内に検討</t>
    </r>
    <r>
      <rPr>
        <sz val="11"/>
        <rFont val="游ゴシック"/>
        <family val="0"/>
        <charset val="1"/>
      </rPr>
      <t xml:space="preserve">)</t>
    </r>
  </si>
  <si>
    <r>
      <rPr>
        <sz val="11"/>
        <rFont val="游ゴシック"/>
        <family val="0"/>
        <charset val="1"/>
      </rPr>
      <t xml:space="preserve">2. AI</t>
    </r>
    <r>
      <rPr>
        <sz val="11"/>
        <rFont val="WenQuanYi Zen Hei"/>
        <family val="2"/>
      </rPr>
      <t xml:space="preserve">リテラシーの向上</t>
    </r>
  </si>
  <si>
    <r>
      <rPr>
        <sz val="11"/>
        <rFont val="游ゴシック"/>
        <family val="0"/>
        <charset val="1"/>
      </rPr>
      <t xml:space="preserve">3. </t>
    </r>
    <r>
      <rPr>
        <sz val="11"/>
        <rFont val="WenQuanYi Zen Hei"/>
        <family val="2"/>
      </rPr>
      <t xml:space="preserve">毎月</t>
    </r>
    <r>
      <rPr>
        <sz val="11"/>
        <rFont val="游ゴシック"/>
        <family val="0"/>
        <charset val="1"/>
      </rPr>
      <t xml:space="preserve">1</t>
    </r>
    <r>
      <rPr>
        <sz val="11"/>
        <rFont val="WenQuanYi Zen Hei"/>
        <family val="2"/>
      </rPr>
      <t xml:space="preserve">回程度の研修の実施</t>
    </r>
  </si>
  <si>
    <r>
      <rPr>
        <sz val="11"/>
        <rFont val="游ゴシック"/>
        <family val="0"/>
        <charset val="1"/>
      </rPr>
      <t xml:space="preserve">4. AI</t>
    </r>
    <r>
      <rPr>
        <sz val="11"/>
        <rFont val="WenQuanYi Zen Hei"/>
        <family val="2"/>
      </rPr>
      <t xml:space="preserve">エージェント・</t>
    </r>
    <r>
      <rPr>
        <sz val="11"/>
        <rFont val="游ゴシック"/>
        <family val="0"/>
        <charset val="1"/>
      </rPr>
      <t xml:space="preserve">AI</t>
    </r>
    <r>
      <rPr>
        <sz val="11"/>
        <rFont val="WenQuanYi Zen Hei"/>
        <family val="2"/>
      </rPr>
      <t xml:space="preserve">電話対応など新技術の導入に向けた情報収集</t>
    </r>
  </si>
  <si>
    <r>
      <rPr>
        <sz val="11"/>
        <rFont val="游ゴシック"/>
        <family val="0"/>
        <charset val="1"/>
      </rPr>
      <t xml:space="preserve">5. AI</t>
    </r>
    <r>
      <rPr>
        <sz val="11"/>
        <rFont val="WenQuanYi Zen Hei"/>
        <family val="2"/>
      </rPr>
      <t xml:space="preserve">エージェントの試行</t>
    </r>
    <r>
      <rPr>
        <sz val="11"/>
        <rFont val="游ゴシック"/>
        <family val="0"/>
        <charset val="1"/>
      </rPr>
      <t xml:space="preserve">(AI</t>
    </r>
    <r>
      <rPr>
        <sz val="11"/>
        <rFont val="WenQuanYi Zen Hei"/>
        <family val="2"/>
      </rPr>
      <t xml:space="preserve">推進リーダー向け、来春プロポーザル</t>
    </r>
    <r>
      <rPr>
        <sz val="11"/>
        <rFont val="游ゴシック"/>
        <family val="0"/>
        <charset val="1"/>
      </rPr>
      <t xml:space="preserve">)</t>
    </r>
  </si>
  <si>
    <r>
      <rPr>
        <sz val="11"/>
        <rFont val="游ゴシック"/>
        <family val="0"/>
        <charset val="1"/>
      </rPr>
      <t xml:space="preserve">6. </t>
    </r>
    <r>
      <rPr>
        <sz val="11"/>
        <rFont val="WenQuanYi Zen Hei"/>
        <family val="2"/>
      </rPr>
      <t xml:space="preserve">効果測定の精度向上</t>
    </r>
  </si>
  <si>
    <r>
      <rPr>
        <sz val="9"/>
        <color rgb="FF595959"/>
        <rFont val="WenQuanYi Zen Hei"/>
        <family val="2"/>
      </rPr>
      <t xml:space="preserve">シート構成</t>
    </r>
    <r>
      <rPr>
        <sz val="9"/>
        <color rgb="FF595959"/>
        <rFont val="游ゴシック"/>
        <family val="0"/>
        <charset val="1"/>
      </rPr>
      <t xml:space="preserve">: </t>
    </r>
    <r>
      <rPr>
        <sz val="9"/>
        <color rgb="FF595959"/>
        <rFont val="WenQuanYi Zen Hei"/>
        <family val="2"/>
      </rPr>
      <t xml:space="preserve">概要 </t>
    </r>
    <r>
      <rPr>
        <sz val="9"/>
        <color rgb="FF595959"/>
        <rFont val="游ゴシック"/>
        <family val="0"/>
        <charset val="1"/>
      </rPr>
      <t xml:space="preserve">/ </t>
    </r>
    <r>
      <rPr>
        <sz val="9"/>
        <color rgb="FF595959"/>
        <rFont val="WenQuanYi Zen Hei"/>
        <family val="2"/>
      </rPr>
      <t xml:space="preserve">利用実績 </t>
    </r>
    <r>
      <rPr>
        <sz val="9"/>
        <color rgb="FF595959"/>
        <rFont val="游ゴシック"/>
        <family val="0"/>
        <charset val="1"/>
      </rPr>
      <t xml:space="preserve">/ </t>
    </r>
    <r>
      <rPr>
        <sz val="9"/>
        <color rgb="FF595959"/>
        <rFont val="WenQuanYi Zen Hei"/>
        <family val="2"/>
      </rPr>
      <t xml:space="preserve">業務削減効果 </t>
    </r>
    <r>
      <rPr>
        <sz val="9"/>
        <color rgb="FF595959"/>
        <rFont val="游ゴシック"/>
        <family val="0"/>
        <charset val="1"/>
      </rPr>
      <t xml:space="preserve">/ </t>
    </r>
    <r>
      <rPr>
        <sz val="9"/>
        <color rgb="FF595959"/>
        <rFont val="WenQuanYi Zen Hei"/>
        <family val="2"/>
      </rPr>
      <t xml:space="preserve">活用分野 </t>
    </r>
    <r>
      <rPr>
        <sz val="9"/>
        <color rgb="FF595959"/>
        <rFont val="游ゴシック"/>
        <family val="0"/>
        <charset val="1"/>
      </rPr>
      <t xml:space="preserve">/ </t>
    </r>
    <r>
      <rPr>
        <sz val="9"/>
        <color rgb="FF595959"/>
        <rFont val="WenQuanYi Zen Hei"/>
        <family val="2"/>
      </rPr>
      <t xml:space="preserve">課題 </t>
    </r>
    <r>
      <rPr>
        <sz val="9"/>
        <color rgb="FF595959"/>
        <rFont val="游ゴシック"/>
        <family val="0"/>
        <charset val="1"/>
      </rPr>
      <t xml:space="preserve">/ </t>
    </r>
    <r>
      <rPr>
        <sz val="9"/>
        <color rgb="FF595959"/>
        <rFont val="WenQuanYi Zen Hei"/>
        <family val="2"/>
      </rPr>
      <t xml:space="preserve">今後のビジョン</t>
    </r>
  </si>
  <si>
    <r>
      <rPr>
        <b val="true"/>
        <sz val="14"/>
        <rFont val="WenQuanYi Zen Hei"/>
        <family val="2"/>
      </rPr>
      <t xml:space="preserve">利用実績</t>
    </r>
    <r>
      <rPr>
        <b val="true"/>
        <sz val="14"/>
        <rFont val="游ゴシック"/>
        <family val="0"/>
        <charset val="1"/>
      </rPr>
      <t xml:space="preserve">(</t>
    </r>
    <r>
      <rPr>
        <b val="true"/>
        <sz val="14"/>
        <rFont val="WenQuanYi Zen Hei"/>
        <family val="2"/>
      </rPr>
      <t xml:space="preserve">月別</t>
    </r>
    <r>
      <rPr>
        <b val="true"/>
        <sz val="14"/>
        <rFont val="游ゴシック"/>
        <family val="0"/>
        <charset val="1"/>
      </rPr>
      <t xml:space="preserve">)</t>
    </r>
  </si>
  <si>
    <r>
      <rPr>
        <sz val="9"/>
        <color rgb="FF595959"/>
        <rFont val="WenQuanYi Zen Hei"/>
        <family val="2"/>
      </rPr>
      <t xml:space="preserve">青字</t>
    </r>
    <r>
      <rPr>
        <sz val="9"/>
        <color rgb="FF595959"/>
        <rFont val="游ゴシック"/>
        <family val="0"/>
        <charset val="1"/>
      </rPr>
      <t xml:space="preserve">=</t>
    </r>
    <r>
      <rPr>
        <sz val="9"/>
        <color rgb="FF595959"/>
        <rFont val="WenQuanYi Zen Hei"/>
        <family val="2"/>
      </rPr>
      <t xml:space="preserve">利用ログ等からの実績値</t>
    </r>
    <r>
      <rPr>
        <sz val="9"/>
        <color rgb="FF595959"/>
        <rFont val="游ゴシック"/>
        <family val="0"/>
        <charset val="1"/>
      </rPr>
      <t xml:space="preserve">(</t>
    </r>
    <r>
      <rPr>
        <sz val="9"/>
        <color rgb="FF595959"/>
        <rFont val="WenQuanYi Zen Hei"/>
        <family val="2"/>
      </rPr>
      <t xml:space="preserve">入力値</t>
    </r>
    <r>
      <rPr>
        <sz val="9"/>
        <color rgb="FF595959"/>
        <rFont val="游ゴシック"/>
        <family val="0"/>
        <charset val="1"/>
      </rPr>
      <t xml:space="preserve">)/</t>
    </r>
    <r>
      <rPr>
        <sz val="9"/>
        <color rgb="FF595959"/>
        <rFont val="WenQuanYi Zen Hei"/>
        <family val="2"/>
      </rPr>
      <t xml:space="preserve">黒字</t>
    </r>
    <r>
      <rPr>
        <sz val="9"/>
        <color rgb="FF595959"/>
        <rFont val="游ゴシック"/>
        <family val="0"/>
        <charset val="1"/>
      </rPr>
      <t xml:space="preserve">=</t>
    </r>
    <r>
      <rPr>
        <sz val="9"/>
        <color rgb="FF595959"/>
        <rFont val="WenQuanYi Zen Hei"/>
        <family val="2"/>
      </rPr>
      <t xml:space="preserve">計算式</t>
    </r>
  </si>
  <si>
    <t xml:space="preserve">指標</t>
  </si>
  <si>
    <t xml:space="preserve">備考</t>
  </si>
  <si>
    <r>
      <rPr>
        <sz val="11"/>
        <rFont val="WenQuanYi Zen Hei"/>
        <family val="2"/>
      </rPr>
      <t xml:space="preserve">質問件数</t>
    </r>
    <r>
      <rPr>
        <sz val="11"/>
        <rFont val="游ゴシック"/>
        <family val="0"/>
        <charset val="1"/>
      </rPr>
      <t xml:space="preserve">(</t>
    </r>
    <r>
      <rPr>
        <sz val="11"/>
        <rFont val="WenQuanYi Zen Hei"/>
        <family val="2"/>
      </rPr>
      <t xml:space="preserve">プロンプト数</t>
    </r>
    <r>
      <rPr>
        <sz val="11"/>
        <rFont val="游ゴシック"/>
        <family val="0"/>
        <charset val="1"/>
      </rPr>
      <t xml:space="preserve">)</t>
    </r>
  </si>
  <si>
    <r>
      <rPr>
        <sz val="9"/>
        <rFont val="WenQuanYi Zen Hei"/>
        <family val="2"/>
      </rPr>
      <t xml:space="preserve">職員からの質問の件数</t>
    </r>
    <r>
      <rPr>
        <sz val="9"/>
        <rFont val="游ゴシック"/>
        <family val="0"/>
        <charset val="1"/>
      </rPr>
      <t xml:space="preserve">(</t>
    </r>
    <r>
      <rPr>
        <sz val="9"/>
        <rFont val="WenQuanYi Zen Hei"/>
        <family val="2"/>
      </rPr>
      <t xml:space="preserve">利用ログ</t>
    </r>
    <r>
      <rPr>
        <sz val="9"/>
        <rFont val="游ゴシック"/>
        <family val="0"/>
        <charset val="1"/>
      </rPr>
      <t xml:space="preserve">)</t>
    </r>
  </si>
  <si>
    <r>
      <rPr>
        <sz val="11"/>
        <rFont val="WenQuanYi Zen Hei"/>
        <family val="2"/>
      </rPr>
      <t xml:space="preserve">総利用回数</t>
    </r>
    <r>
      <rPr>
        <sz val="11"/>
        <rFont val="游ゴシック"/>
        <family val="0"/>
        <charset val="1"/>
      </rPr>
      <t xml:space="preserve">(</t>
    </r>
    <r>
      <rPr>
        <sz val="11"/>
        <rFont val="WenQuanYi Zen Hei"/>
        <family val="2"/>
      </rPr>
      <t xml:space="preserve">質問</t>
    </r>
    <r>
      <rPr>
        <sz val="11"/>
        <rFont val="游ゴシック"/>
        <family val="0"/>
        <charset val="1"/>
      </rPr>
      <t xml:space="preserve">+</t>
    </r>
    <r>
      <rPr>
        <sz val="11"/>
        <rFont val="WenQuanYi Zen Hei"/>
        <family val="2"/>
      </rPr>
      <t xml:space="preserve">応答</t>
    </r>
    <r>
      <rPr>
        <sz val="11"/>
        <rFont val="游ゴシック"/>
        <family val="0"/>
        <charset val="1"/>
      </rPr>
      <t xml:space="preserve">)</t>
    </r>
  </si>
  <si>
    <t xml:space="preserve">利用ログの全レコード数</t>
  </si>
  <si>
    <r>
      <rPr>
        <sz val="9"/>
        <rFont val="WenQuanYi Zen Hei"/>
        <family val="2"/>
      </rPr>
      <t xml:space="preserve">月内に</t>
    </r>
    <r>
      <rPr>
        <sz val="9"/>
        <rFont val="游ゴシック"/>
        <family val="0"/>
        <charset val="1"/>
      </rPr>
      <t xml:space="preserve">1</t>
    </r>
    <r>
      <rPr>
        <sz val="9"/>
        <rFont val="WenQuanYi Zen Hei"/>
        <family val="2"/>
      </rPr>
      <t xml:space="preserve">回以上利用した職員</t>
    </r>
  </si>
  <si>
    <r>
      <rPr>
        <sz val="11"/>
        <rFont val="WenQuanYi Zen Hei"/>
        <family val="2"/>
      </rPr>
      <t xml:space="preserve">登録者数</t>
    </r>
    <r>
      <rPr>
        <sz val="11"/>
        <rFont val="游ゴシック"/>
        <family val="0"/>
        <charset val="1"/>
      </rPr>
      <t xml:space="preserve">(</t>
    </r>
    <r>
      <rPr>
        <sz val="11"/>
        <rFont val="WenQuanYi Zen Hei"/>
        <family val="2"/>
      </rPr>
      <t xml:space="preserve">人</t>
    </r>
    <r>
      <rPr>
        <sz val="11"/>
        <rFont val="游ゴシック"/>
        <family val="0"/>
        <charset val="1"/>
      </rPr>
      <t xml:space="preserve">)</t>
    </r>
  </si>
  <si>
    <r>
      <rPr>
        <sz val="9"/>
        <rFont val="WenQuanYi Zen Hei"/>
        <family val="2"/>
      </rPr>
      <t xml:space="preserve">月末</t>
    </r>
    <r>
      <rPr>
        <sz val="9"/>
        <rFont val="游ゴシック"/>
        <family val="0"/>
        <charset val="1"/>
      </rPr>
      <t xml:space="preserve">(9</t>
    </r>
    <r>
      <rPr>
        <sz val="9"/>
        <rFont val="WenQuanYi Zen Hei"/>
        <family val="2"/>
      </rPr>
      <t xml:space="preserve">月は</t>
    </r>
    <r>
      <rPr>
        <sz val="9"/>
        <rFont val="游ゴシック"/>
        <family val="0"/>
        <charset val="1"/>
      </rPr>
      <t xml:space="preserve">10/1)</t>
    </r>
    <r>
      <rPr>
        <sz val="9"/>
        <rFont val="WenQuanYi Zen Hei"/>
        <family val="2"/>
      </rPr>
      <t xml:space="preserve">時点のアカウント数</t>
    </r>
  </si>
  <si>
    <r>
      <rPr>
        <sz val="9"/>
        <rFont val="WenQuanYi Zen Hei"/>
        <family val="2"/>
      </rPr>
      <t xml:space="preserve">利用者数</t>
    </r>
    <r>
      <rPr>
        <sz val="9"/>
        <rFont val="游ゴシック"/>
        <family val="0"/>
        <charset val="1"/>
      </rPr>
      <t xml:space="preserve">÷</t>
    </r>
    <r>
      <rPr>
        <sz val="9"/>
        <rFont val="WenQuanYi Zen Hei"/>
        <family val="2"/>
      </rPr>
      <t xml:space="preserve">登録者数</t>
    </r>
  </si>
  <si>
    <t xml:space="preserve">利用があった部署数</t>
  </si>
  <si>
    <t xml:space="preserve">部署別集計より</t>
  </si>
  <si>
    <r>
      <rPr>
        <sz val="11"/>
        <rFont val="WenQuanYi Zen Hei"/>
        <family val="2"/>
      </rPr>
      <t xml:space="preserve">前月利用者のうち翌月も利用した人</t>
    </r>
    <r>
      <rPr>
        <sz val="11"/>
        <rFont val="游ゴシック"/>
        <family val="0"/>
        <charset val="1"/>
      </rPr>
      <t xml:space="preserve">(</t>
    </r>
    <r>
      <rPr>
        <sz val="11"/>
        <rFont val="WenQuanYi Zen Hei"/>
        <family val="2"/>
      </rPr>
      <t xml:space="preserve">人</t>
    </r>
    <r>
      <rPr>
        <sz val="11"/>
        <rFont val="游ゴシック"/>
        <family val="0"/>
        <charset val="1"/>
      </rPr>
      <t xml:space="preserve">)</t>
    </r>
  </si>
  <si>
    <r>
      <rPr>
        <sz val="9"/>
        <rFont val="游ゴシック"/>
        <family val="0"/>
        <charset val="1"/>
      </rPr>
      <t xml:space="preserve">8</t>
    </r>
    <r>
      <rPr>
        <sz val="9"/>
        <rFont val="WenQuanYi Zen Hei"/>
        <family val="2"/>
      </rPr>
      <t xml:space="preserve">月は</t>
    </r>
    <r>
      <rPr>
        <sz val="9"/>
        <rFont val="游ゴシック"/>
        <family val="0"/>
        <charset val="1"/>
      </rPr>
      <t xml:space="preserve">7</t>
    </r>
    <r>
      <rPr>
        <sz val="9"/>
        <rFont val="WenQuanYi Zen Hei"/>
        <family val="2"/>
      </rPr>
      <t xml:space="preserve">月利用者</t>
    </r>
    <r>
      <rPr>
        <sz val="9"/>
        <rFont val="游ゴシック"/>
        <family val="0"/>
        <charset val="1"/>
      </rPr>
      <t xml:space="preserve">590</t>
    </r>
    <r>
      <rPr>
        <sz val="9"/>
        <rFont val="WenQuanYi Zen Hei"/>
        <family val="2"/>
      </rPr>
      <t xml:space="preserve">人のうち、</t>
    </r>
    <r>
      <rPr>
        <sz val="9"/>
        <rFont val="游ゴシック"/>
        <family val="0"/>
        <charset val="1"/>
      </rPr>
      <t xml:space="preserve">9</t>
    </r>
    <r>
      <rPr>
        <sz val="9"/>
        <rFont val="WenQuanYi Zen Hei"/>
        <family val="2"/>
      </rPr>
      <t xml:space="preserve">月は</t>
    </r>
    <r>
      <rPr>
        <sz val="9"/>
        <rFont val="游ゴシック"/>
        <family val="0"/>
        <charset val="1"/>
      </rPr>
      <t xml:space="preserve">8</t>
    </r>
    <r>
      <rPr>
        <sz val="9"/>
        <rFont val="WenQuanYi Zen Hei"/>
        <family val="2"/>
      </rPr>
      <t xml:space="preserve">月利用者</t>
    </r>
    <r>
      <rPr>
        <sz val="9"/>
        <rFont val="游ゴシック"/>
        <family val="0"/>
        <charset val="1"/>
      </rPr>
      <t xml:space="preserve">658</t>
    </r>
    <r>
      <rPr>
        <sz val="9"/>
        <rFont val="WenQuanYi Zen Hei"/>
        <family val="2"/>
      </rPr>
      <t xml:space="preserve">人のうち</t>
    </r>
  </si>
  <si>
    <r>
      <rPr>
        <sz val="9"/>
        <rFont val="WenQuanYi Zen Hei"/>
        <family val="2"/>
      </rPr>
      <t xml:space="preserve">前月から継続した人</t>
    </r>
    <r>
      <rPr>
        <sz val="9"/>
        <rFont val="游ゴシック"/>
        <family val="0"/>
        <charset val="1"/>
      </rPr>
      <t xml:space="preserve">÷</t>
    </r>
    <r>
      <rPr>
        <sz val="9"/>
        <rFont val="WenQuanYi Zen Hei"/>
        <family val="2"/>
      </rPr>
      <t xml:space="preserve">前月の利用者数</t>
    </r>
  </si>
  <si>
    <r>
      <rPr>
        <sz val="11"/>
        <rFont val="WenQuanYi Zen Hei"/>
        <family val="2"/>
      </rPr>
      <t xml:space="preserve">新規利用者</t>
    </r>
    <r>
      <rPr>
        <sz val="11"/>
        <rFont val="游ゴシック"/>
        <family val="0"/>
        <charset val="1"/>
      </rPr>
      <t xml:space="preserve">(</t>
    </r>
    <r>
      <rPr>
        <sz val="11"/>
        <rFont val="WenQuanYi Zen Hei"/>
        <family val="2"/>
      </rPr>
      <t xml:space="preserve">人</t>
    </r>
    <r>
      <rPr>
        <sz val="11"/>
        <rFont val="游ゴシック"/>
        <family val="0"/>
        <charset val="1"/>
      </rPr>
      <t xml:space="preserve">)</t>
    </r>
  </si>
  <si>
    <t xml:space="preserve">その月に初めて利用した職員</t>
  </si>
  <si>
    <r>
      <rPr>
        <sz val="11"/>
        <rFont val="游ゴシック"/>
        <family val="0"/>
        <charset val="1"/>
      </rPr>
      <t xml:space="preserve">1</t>
    </r>
    <r>
      <rPr>
        <sz val="11"/>
        <rFont val="WenQuanYi Zen Hei"/>
        <family val="2"/>
      </rPr>
      <t xml:space="preserve">人あたり質問件数</t>
    </r>
  </si>
  <si>
    <r>
      <rPr>
        <sz val="9"/>
        <rFont val="WenQuanYi Zen Hei"/>
        <family val="2"/>
      </rPr>
      <t xml:space="preserve">質問件数</t>
    </r>
    <r>
      <rPr>
        <sz val="9"/>
        <rFont val="游ゴシック"/>
        <family val="0"/>
        <charset val="1"/>
      </rPr>
      <t xml:space="preserve">÷</t>
    </r>
    <r>
      <rPr>
        <sz val="9"/>
        <rFont val="WenQuanYi Zen Hei"/>
        <family val="2"/>
      </rPr>
      <t xml:space="preserve">利用者数</t>
    </r>
  </si>
  <si>
    <r>
      <rPr>
        <sz val="11"/>
        <rFont val="WenQuanYi Zen Hei"/>
        <family val="2"/>
      </rPr>
      <t xml:space="preserve">上位</t>
    </r>
    <r>
      <rPr>
        <sz val="11"/>
        <rFont val="游ゴシック"/>
        <family val="0"/>
        <charset val="1"/>
      </rPr>
      <t xml:space="preserve">10</t>
    </r>
    <r>
      <rPr>
        <sz val="11"/>
        <rFont val="WenQuanYi Zen Hei"/>
        <family val="2"/>
      </rPr>
      <t xml:space="preserve">人が全質問に占める割合</t>
    </r>
  </si>
  <si>
    <r>
      <rPr>
        <sz val="9"/>
        <rFont val="WenQuanYi Zen Hei"/>
        <family val="2"/>
      </rPr>
      <t xml:space="preserve">利用の偏りの指標</t>
    </r>
    <r>
      <rPr>
        <sz val="9"/>
        <rFont val="游ゴシック"/>
        <family val="0"/>
        <charset val="1"/>
      </rPr>
      <t xml:space="preserve">(</t>
    </r>
    <r>
      <rPr>
        <sz val="9"/>
        <rFont val="WenQuanYi Zen Hei"/>
        <family val="2"/>
      </rPr>
      <t xml:space="preserve">低いほど裾野が広い</t>
    </r>
    <r>
      <rPr>
        <sz val="9"/>
        <rFont val="游ゴシック"/>
        <family val="0"/>
        <charset val="1"/>
      </rPr>
      <t xml:space="preserve">)</t>
    </r>
  </si>
  <si>
    <r>
      <rPr>
        <sz val="9"/>
        <rFont val="游ゴシック"/>
        <family val="0"/>
        <charset val="1"/>
      </rPr>
      <t xml:space="preserve">※9/17 18</t>
    </r>
    <r>
      <rPr>
        <sz val="9"/>
        <rFont val="WenQuanYi Zen Hei"/>
        <family val="2"/>
      </rPr>
      <t xml:space="preserve">時、無償プランを対象に </t>
    </r>
    <r>
      <rPr>
        <sz val="9"/>
        <rFont val="游ゴシック"/>
        <family val="0"/>
        <charset val="1"/>
      </rPr>
      <t xml:space="preserve">Claude Opus</t>
    </r>
    <r>
      <rPr>
        <sz val="9"/>
        <rFont val="WenQuanYi Zen Hei"/>
        <family val="2"/>
      </rPr>
      <t xml:space="preserve">・</t>
    </r>
    <r>
      <rPr>
        <sz val="9"/>
        <rFont val="游ゴシック"/>
        <family val="0"/>
        <charset val="1"/>
      </rPr>
      <t xml:space="preserve">Sonnet </t>
    </r>
    <r>
      <rPr>
        <sz val="9"/>
        <rFont val="WenQuanYi Zen Hei"/>
        <family val="2"/>
      </rPr>
      <t xml:space="preserve">が停止。停止前</t>
    </r>
    <r>
      <rPr>
        <sz val="9"/>
        <rFont val="游ゴシック"/>
        <family val="0"/>
        <charset val="1"/>
      </rPr>
      <t xml:space="preserve">(9/1</t>
    </r>
    <r>
      <rPr>
        <sz val="9"/>
        <rFont val="WenQuanYi Zen Hei"/>
        <family val="2"/>
      </rPr>
      <t xml:space="preserve">〜</t>
    </r>
    <r>
      <rPr>
        <sz val="9"/>
        <rFont val="游ゴシック"/>
        <family val="0"/>
        <charset val="1"/>
      </rPr>
      <t xml:space="preserve">17)</t>
    </r>
    <r>
      <rPr>
        <sz val="9"/>
        <rFont val="WenQuanYi Zen Hei"/>
        <family val="2"/>
      </rPr>
      <t xml:space="preserve">の平日</t>
    </r>
    <r>
      <rPr>
        <sz val="9"/>
        <rFont val="游ゴシック"/>
        <family val="0"/>
        <charset val="1"/>
      </rPr>
      <t xml:space="preserve">1</t>
    </r>
    <r>
      <rPr>
        <sz val="9"/>
        <rFont val="WenQuanYi Zen Hei"/>
        <family val="2"/>
      </rPr>
      <t xml:space="preserve">日平均は</t>
    </r>
    <r>
      <rPr>
        <sz val="9"/>
        <rFont val="游ゴシック"/>
        <family val="0"/>
        <charset val="1"/>
      </rPr>
      <t xml:space="preserve">3,675</t>
    </r>
    <r>
      <rPr>
        <sz val="9"/>
        <rFont val="WenQuanYi Zen Hei"/>
        <family val="2"/>
      </rPr>
      <t xml:space="preserve">件・</t>
    </r>
    <r>
      <rPr>
        <sz val="9"/>
        <rFont val="游ゴシック"/>
        <family val="0"/>
        <charset val="1"/>
      </rPr>
      <t xml:space="preserve">281</t>
    </r>
    <r>
      <rPr>
        <sz val="9"/>
        <rFont val="WenQuanYi Zen Hei"/>
        <family val="2"/>
      </rPr>
      <t xml:space="preserve">人、停止後</t>
    </r>
    <r>
      <rPr>
        <sz val="9"/>
        <rFont val="游ゴシック"/>
        <family val="0"/>
        <charset val="1"/>
      </rPr>
      <t xml:space="preserve">(9/18</t>
    </r>
    <r>
      <rPr>
        <sz val="9"/>
        <rFont val="WenQuanYi Zen Hei"/>
        <family val="2"/>
      </rPr>
      <t xml:space="preserve">〜</t>
    </r>
    <r>
      <rPr>
        <sz val="9"/>
        <rFont val="游ゴシック"/>
        <family val="0"/>
        <charset val="1"/>
      </rPr>
      <t xml:space="preserve">30)</t>
    </r>
    <r>
      <rPr>
        <sz val="9"/>
        <rFont val="WenQuanYi Zen Hei"/>
        <family val="2"/>
      </rPr>
      <t xml:space="preserve">は</t>
    </r>
    <r>
      <rPr>
        <sz val="9"/>
        <rFont val="游ゴシック"/>
        <family val="0"/>
        <charset val="1"/>
      </rPr>
      <t xml:space="preserve">2,512</t>
    </r>
    <r>
      <rPr>
        <sz val="9"/>
        <rFont val="WenQuanYi Zen Hei"/>
        <family val="2"/>
      </rPr>
      <t xml:space="preserve">件・</t>
    </r>
    <r>
      <rPr>
        <sz val="9"/>
        <rFont val="游ゴシック"/>
        <family val="0"/>
        <charset val="1"/>
      </rPr>
      <t xml:space="preserve">211</t>
    </r>
    <r>
      <rPr>
        <sz val="9"/>
        <rFont val="WenQuanYi Zen Hei"/>
        <family val="2"/>
      </rPr>
      <t xml:space="preserve">人。</t>
    </r>
  </si>
  <si>
    <r>
      <rPr>
        <b val="true"/>
        <sz val="14"/>
        <rFont val="WenQuanYi Zen Hei"/>
        <family val="2"/>
      </rPr>
      <t xml:space="preserve">業務削減効果</t>
    </r>
    <r>
      <rPr>
        <b val="true"/>
        <sz val="14"/>
        <rFont val="游ゴシック"/>
        <family val="0"/>
        <charset val="1"/>
      </rPr>
      <t xml:space="preserve">(</t>
    </r>
    <r>
      <rPr>
        <b val="true"/>
        <sz val="14"/>
        <rFont val="WenQuanYi Zen Hei"/>
        <family val="2"/>
      </rPr>
      <t xml:space="preserve">推計</t>
    </r>
    <r>
      <rPr>
        <b val="true"/>
        <sz val="14"/>
        <rFont val="游ゴシック"/>
        <family val="0"/>
        <charset val="1"/>
      </rPr>
      <t xml:space="preserve">)</t>
    </r>
  </si>
  <si>
    <r>
      <rPr>
        <sz val="9"/>
        <color rgb="FF595959"/>
        <rFont val="WenQuanYi Zen Hei"/>
        <family val="2"/>
      </rPr>
      <t xml:space="preserve">黄色セル</t>
    </r>
    <r>
      <rPr>
        <sz val="9"/>
        <color rgb="FF595959"/>
        <rFont val="游ゴシック"/>
        <family val="0"/>
        <charset val="1"/>
      </rPr>
      <t xml:space="preserve">=</t>
    </r>
    <r>
      <rPr>
        <sz val="9"/>
        <color rgb="FF595959"/>
        <rFont val="WenQuanYi Zen Hei"/>
        <family val="2"/>
      </rPr>
      <t xml:space="preserve">前提条件</t>
    </r>
    <r>
      <rPr>
        <sz val="9"/>
        <color rgb="FF595959"/>
        <rFont val="游ゴシック"/>
        <family val="0"/>
        <charset val="1"/>
      </rPr>
      <t xml:space="preserve">(</t>
    </r>
    <r>
      <rPr>
        <sz val="9"/>
        <color rgb="FF595959"/>
        <rFont val="WenQuanYi Zen Hei"/>
        <family val="2"/>
      </rPr>
      <t xml:space="preserve">変更可</t>
    </r>
    <r>
      <rPr>
        <sz val="9"/>
        <color rgb="FF595959"/>
        <rFont val="游ゴシック"/>
        <family val="0"/>
        <charset val="1"/>
      </rPr>
      <t xml:space="preserve">)</t>
    </r>
    <r>
      <rPr>
        <sz val="9"/>
        <color rgb="FF595959"/>
        <rFont val="WenQuanYi Zen Hei"/>
        <family val="2"/>
      </rPr>
      <t xml:space="preserve">。質問件数は「利用実績」シートから参照</t>
    </r>
  </si>
  <si>
    <t xml:space="preserve">前提条件</t>
  </si>
  <si>
    <r>
      <rPr>
        <sz val="11"/>
        <rFont val="游ゴシック"/>
        <family val="0"/>
        <charset val="1"/>
      </rPr>
      <t xml:space="preserve">1</t>
    </r>
    <r>
      <rPr>
        <sz val="11"/>
        <rFont val="WenQuanYi Zen Hei"/>
        <family val="2"/>
      </rPr>
      <t xml:space="preserve">件あたり削減時間</t>
    </r>
    <r>
      <rPr>
        <sz val="11"/>
        <rFont val="游ゴシック"/>
        <family val="0"/>
        <charset val="1"/>
      </rPr>
      <t xml:space="preserve">(</t>
    </r>
    <r>
      <rPr>
        <sz val="11"/>
        <rFont val="WenQuanYi Zen Hei"/>
        <family val="2"/>
      </rPr>
      <t xml:space="preserve">分</t>
    </r>
    <r>
      <rPr>
        <sz val="11"/>
        <rFont val="游ゴシック"/>
        <family val="0"/>
        <charset val="1"/>
      </rPr>
      <t xml:space="preserve">)</t>
    </r>
    <r>
      <rPr>
        <sz val="11"/>
        <rFont val="WenQuanYi Zen Hei"/>
        <family val="2"/>
      </rPr>
      <t xml:space="preserve">・標準</t>
    </r>
  </si>
  <si>
    <t xml:space="preserve">中庸の目安</t>
  </si>
  <si>
    <r>
      <rPr>
        <sz val="11"/>
        <rFont val="游ゴシック"/>
        <family val="0"/>
        <charset val="1"/>
      </rPr>
      <t xml:space="preserve">1</t>
    </r>
    <r>
      <rPr>
        <sz val="11"/>
        <rFont val="WenQuanYi Zen Hei"/>
        <family val="2"/>
      </rPr>
      <t xml:space="preserve">件あたり削減時間</t>
    </r>
    <r>
      <rPr>
        <sz val="11"/>
        <rFont val="游ゴシック"/>
        <family val="0"/>
        <charset val="1"/>
      </rPr>
      <t xml:space="preserve">(</t>
    </r>
    <r>
      <rPr>
        <sz val="11"/>
        <rFont val="WenQuanYi Zen Hei"/>
        <family val="2"/>
      </rPr>
      <t xml:space="preserve">分</t>
    </r>
    <r>
      <rPr>
        <sz val="11"/>
        <rFont val="游ゴシック"/>
        <family val="0"/>
        <charset val="1"/>
      </rPr>
      <t xml:space="preserve">)</t>
    </r>
    <r>
      <rPr>
        <sz val="11"/>
        <rFont val="WenQuanYi Zen Hei"/>
        <family val="2"/>
      </rPr>
      <t xml:space="preserve">・控えめ</t>
    </r>
  </si>
  <si>
    <t xml:space="preserve">対外説明ではこちらを推奨</t>
  </si>
  <si>
    <r>
      <rPr>
        <sz val="11"/>
        <rFont val="游ゴシック"/>
        <family val="0"/>
        <charset val="1"/>
      </rPr>
      <t xml:space="preserve">1</t>
    </r>
    <r>
      <rPr>
        <sz val="11"/>
        <rFont val="WenQuanYi Zen Hei"/>
        <family val="2"/>
      </rPr>
      <t xml:space="preserve">日あたり労働時間</t>
    </r>
    <r>
      <rPr>
        <sz val="11"/>
        <rFont val="游ゴシック"/>
        <family val="0"/>
        <charset val="1"/>
      </rPr>
      <t xml:space="preserve">(</t>
    </r>
    <r>
      <rPr>
        <sz val="11"/>
        <rFont val="WenQuanYi Zen Hei"/>
        <family val="2"/>
      </rPr>
      <t xml:space="preserve">時間</t>
    </r>
    <r>
      <rPr>
        <sz val="11"/>
        <rFont val="游ゴシック"/>
        <family val="0"/>
        <charset val="1"/>
      </rPr>
      <t xml:space="preserve">)</t>
    </r>
  </si>
  <si>
    <r>
      <rPr>
        <sz val="9"/>
        <rFont val="游ゴシック"/>
        <family val="0"/>
        <charset val="1"/>
      </rPr>
      <t xml:space="preserve">7</t>
    </r>
    <r>
      <rPr>
        <sz val="9"/>
        <rFont val="WenQuanYi Zen Hei"/>
        <family val="2"/>
      </rPr>
      <t xml:space="preserve">時間</t>
    </r>
    <r>
      <rPr>
        <sz val="9"/>
        <rFont val="游ゴシック"/>
        <family val="0"/>
        <charset val="1"/>
      </rPr>
      <t xml:space="preserve">45</t>
    </r>
    <r>
      <rPr>
        <sz val="9"/>
        <rFont val="WenQuanYi Zen Hei"/>
        <family val="2"/>
      </rPr>
      <t xml:space="preserve">分</t>
    </r>
  </si>
  <si>
    <r>
      <rPr>
        <sz val="11"/>
        <rFont val="WenQuanYi Zen Hei"/>
        <family val="2"/>
      </rPr>
      <t xml:space="preserve">人件費</t>
    </r>
    <r>
      <rPr>
        <sz val="11"/>
        <rFont val="游ゴシック"/>
        <family val="0"/>
        <charset val="1"/>
      </rPr>
      <t xml:space="preserve">(</t>
    </r>
    <r>
      <rPr>
        <sz val="11"/>
        <rFont val="WenQuanYi Zen Hei"/>
        <family val="2"/>
      </rPr>
      <t xml:space="preserve">円</t>
    </r>
    <r>
      <rPr>
        <sz val="11"/>
        <rFont val="游ゴシック"/>
        <family val="0"/>
        <charset val="1"/>
      </rPr>
      <t xml:space="preserve">/</t>
    </r>
    <r>
      <rPr>
        <sz val="11"/>
        <rFont val="WenQuanYi Zen Hei"/>
        <family val="2"/>
      </rPr>
      <t xml:space="preserve">時間</t>
    </r>
    <r>
      <rPr>
        <sz val="11"/>
        <rFont val="游ゴシック"/>
        <family val="0"/>
        <charset val="1"/>
      </rPr>
      <t xml:space="preserve">)</t>
    </r>
  </si>
  <si>
    <t xml:space="preserve">共済費等込みの概算</t>
  </si>
  <si>
    <t xml:space="preserve">項目</t>
  </si>
  <si>
    <t xml:space="preserve">利用ログ実数</t>
  </si>
  <si>
    <r>
      <rPr>
        <sz val="9"/>
        <rFont val="WenQuanYi Zen Hei"/>
        <family val="2"/>
      </rPr>
      <t xml:space="preserve">質問件数</t>
    </r>
    <r>
      <rPr>
        <sz val="9"/>
        <rFont val="游ゴシック"/>
        <family val="0"/>
        <charset val="1"/>
      </rPr>
      <t xml:space="preserve">×10</t>
    </r>
    <r>
      <rPr>
        <sz val="9"/>
        <rFont val="WenQuanYi Zen Hei"/>
        <family val="2"/>
      </rPr>
      <t xml:space="preserve">分</t>
    </r>
  </si>
  <si>
    <t xml:space="preserve">人日換算・標準</t>
  </si>
  <si>
    <r>
      <rPr>
        <sz val="9"/>
        <rFont val="WenQuanYi Zen Hei"/>
        <family val="2"/>
      </rPr>
      <t xml:space="preserve">削減時間</t>
    </r>
    <r>
      <rPr>
        <sz val="9"/>
        <rFont val="游ゴシック"/>
        <family val="0"/>
        <charset val="1"/>
      </rPr>
      <t xml:space="preserve">÷7.75</t>
    </r>
    <r>
      <rPr>
        <sz val="9"/>
        <rFont val="WenQuanYi Zen Hei"/>
        <family val="2"/>
      </rPr>
      <t xml:space="preserve">時間</t>
    </r>
  </si>
  <si>
    <r>
      <rPr>
        <sz val="11"/>
        <rFont val="WenQuanYi Zen Hei"/>
        <family val="2"/>
      </rPr>
      <t xml:space="preserve">人件費換算</t>
    </r>
    <r>
      <rPr>
        <sz val="11"/>
        <rFont val="游ゴシック"/>
        <family val="0"/>
        <charset val="1"/>
      </rPr>
      <t xml:space="preserve">(</t>
    </r>
    <r>
      <rPr>
        <sz val="11"/>
        <rFont val="WenQuanYi Zen Hei"/>
        <family val="2"/>
      </rPr>
      <t xml:space="preserve">円</t>
    </r>
    <r>
      <rPr>
        <sz val="11"/>
        <rFont val="游ゴシック"/>
        <family val="0"/>
        <charset val="1"/>
      </rPr>
      <t xml:space="preserve">)</t>
    </r>
    <r>
      <rPr>
        <sz val="11"/>
        <rFont val="WenQuanYi Zen Hei"/>
        <family val="2"/>
      </rPr>
      <t xml:space="preserve">・標準</t>
    </r>
  </si>
  <si>
    <r>
      <rPr>
        <sz val="9"/>
        <rFont val="WenQuanYi Zen Hei"/>
        <family val="2"/>
      </rPr>
      <t xml:space="preserve">削減時間</t>
    </r>
    <r>
      <rPr>
        <sz val="9"/>
        <rFont val="游ゴシック"/>
        <family val="0"/>
        <charset val="1"/>
      </rPr>
      <t xml:space="preserve">×3,000</t>
    </r>
    <r>
      <rPr>
        <sz val="9"/>
        <rFont val="WenQuanYi Zen Hei"/>
        <family val="2"/>
      </rPr>
      <t xml:space="preserve">円</t>
    </r>
  </si>
  <si>
    <r>
      <rPr>
        <sz val="9"/>
        <rFont val="WenQuanYi Zen Hei"/>
        <family val="2"/>
      </rPr>
      <t xml:space="preserve">質問件数</t>
    </r>
    <r>
      <rPr>
        <sz val="9"/>
        <rFont val="游ゴシック"/>
        <family val="0"/>
        <charset val="1"/>
      </rPr>
      <t xml:space="preserve">×5</t>
    </r>
    <r>
      <rPr>
        <sz val="9"/>
        <rFont val="WenQuanYi Zen Hei"/>
        <family val="2"/>
      </rPr>
      <t xml:space="preserve">分</t>
    </r>
  </si>
  <si>
    <t xml:space="preserve">人日換算・控えめ</t>
  </si>
  <si>
    <r>
      <rPr>
        <sz val="11"/>
        <rFont val="WenQuanYi Zen Hei"/>
        <family val="2"/>
      </rPr>
      <t xml:space="preserve">人件費換算</t>
    </r>
    <r>
      <rPr>
        <sz val="11"/>
        <rFont val="游ゴシック"/>
        <family val="0"/>
        <charset val="1"/>
      </rPr>
      <t xml:space="preserve">(</t>
    </r>
    <r>
      <rPr>
        <sz val="11"/>
        <rFont val="WenQuanYi Zen Hei"/>
        <family val="2"/>
      </rPr>
      <t xml:space="preserve">円</t>
    </r>
    <r>
      <rPr>
        <sz val="11"/>
        <rFont val="游ゴシック"/>
        <family val="0"/>
        <charset val="1"/>
      </rPr>
      <t xml:space="preserve">)</t>
    </r>
    <r>
      <rPr>
        <sz val="11"/>
        <rFont val="WenQuanYi Zen Hei"/>
        <family val="2"/>
      </rPr>
      <t xml:space="preserve">・控えめ</t>
    </r>
  </si>
  <si>
    <t xml:space="preserve">【読み方】利用ログは「使った量」を示すもので、各質問が実際にどれだけ手作業を置き換えたかは判別できない。推計値として扱う。</t>
  </si>
  <si>
    <r>
      <rPr>
        <sz val="9"/>
        <rFont val="WenQuanYi Zen Hei"/>
        <family val="2"/>
      </rPr>
      <t xml:space="preserve">【精度向上】職員アンケートで「</t>
    </r>
    <r>
      <rPr>
        <sz val="9"/>
        <rFont val="游ゴシック"/>
        <family val="0"/>
        <charset val="1"/>
      </rPr>
      <t xml:space="preserve">AI</t>
    </r>
    <r>
      <rPr>
        <sz val="9"/>
        <rFont val="WenQuanYi Zen Hei"/>
        <family val="2"/>
      </rPr>
      <t xml:space="preserve">で何分短縮できたか」を実測し、</t>
    </r>
    <r>
      <rPr>
        <sz val="9"/>
        <rFont val="游ゴシック"/>
        <family val="0"/>
        <charset val="1"/>
      </rPr>
      <t xml:space="preserve">1</t>
    </r>
    <r>
      <rPr>
        <sz val="9"/>
        <rFont val="WenQuanYi Zen Hei"/>
        <family val="2"/>
      </rPr>
      <t xml:space="preserve">件あたり削減時間</t>
    </r>
    <r>
      <rPr>
        <sz val="9"/>
        <rFont val="游ゴシック"/>
        <family val="0"/>
        <charset val="1"/>
      </rPr>
      <t xml:space="preserve">(</t>
    </r>
    <r>
      <rPr>
        <sz val="9"/>
        <rFont val="WenQuanYi Zen Hei"/>
        <family val="2"/>
      </rPr>
      <t xml:space="preserve">黄色セル</t>
    </r>
    <r>
      <rPr>
        <sz val="9"/>
        <rFont val="游ゴシック"/>
        <family val="0"/>
        <charset val="1"/>
      </rPr>
      <t xml:space="preserve">)</t>
    </r>
    <r>
      <rPr>
        <sz val="9"/>
        <rFont val="WenQuanYi Zen Hei"/>
        <family val="2"/>
      </rPr>
      <t xml:space="preserve">を置き換えると確度が上がる。</t>
    </r>
  </si>
  <si>
    <r>
      <rPr>
        <sz val="9"/>
        <rFont val="WenQuanYi Zen Hei"/>
        <family val="2"/>
      </rPr>
      <t xml:space="preserve">【注意】</t>
    </r>
    <r>
      <rPr>
        <sz val="9"/>
        <rFont val="游ゴシック"/>
        <family val="0"/>
        <charset val="1"/>
      </rPr>
      <t xml:space="preserve">9</t>
    </r>
    <r>
      <rPr>
        <sz val="9"/>
        <rFont val="WenQuanYi Zen Hei"/>
        <family val="2"/>
      </rPr>
      <t xml:space="preserve">月分から利用ログの入出力内容の収録上限が約</t>
    </r>
    <r>
      <rPr>
        <sz val="9"/>
        <rFont val="游ゴシック"/>
        <family val="0"/>
        <charset val="1"/>
      </rPr>
      <t xml:space="preserve">2,000</t>
    </r>
    <r>
      <rPr>
        <sz val="9"/>
        <rFont val="WenQuanYi Zen Hei"/>
        <family val="2"/>
      </rPr>
      <t xml:space="preserve">文字→</t>
    </r>
    <r>
      <rPr>
        <sz val="9"/>
        <rFont val="游ゴシック"/>
        <family val="0"/>
        <charset val="1"/>
      </rPr>
      <t xml:space="preserve">1</t>
    </r>
    <r>
      <rPr>
        <sz val="9"/>
        <rFont val="WenQuanYi Zen Hei"/>
        <family val="2"/>
      </rPr>
      <t xml:space="preserve">万文字に変わったため、文字数ベースの試算は</t>
    </r>
    <r>
      <rPr>
        <sz val="9"/>
        <rFont val="游ゴシック"/>
        <family val="0"/>
        <charset val="1"/>
      </rPr>
      <t xml:space="preserve">8</t>
    </r>
    <r>
      <rPr>
        <sz val="9"/>
        <rFont val="WenQuanYi Zen Hei"/>
        <family val="2"/>
      </rPr>
      <t xml:space="preserve">月以前と比較できない。本表は件数ベースのため影響を受けない。</t>
    </r>
  </si>
  <si>
    <r>
      <rPr>
        <b val="true"/>
        <sz val="14"/>
        <rFont val="WenQuanYi Zen Hei"/>
        <family val="2"/>
      </rPr>
      <t xml:space="preserve">主な活用分野</t>
    </r>
    <r>
      <rPr>
        <b val="true"/>
        <sz val="14"/>
        <rFont val="游ゴシック"/>
        <family val="0"/>
        <charset val="1"/>
      </rPr>
      <t xml:space="preserve">(8</t>
    </r>
    <r>
      <rPr>
        <b val="true"/>
        <sz val="14"/>
        <rFont val="WenQuanYi Zen Hei"/>
        <family val="2"/>
      </rPr>
      <t xml:space="preserve">月・</t>
    </r>
    <r>
      <rPr>
        <b val="true"/>
        <sz val="14"/>
        <rFont val="游ゴシック"/>
        <family val="0"/>
        <charset val="1"/>
      </rPr>
      <t xml:space="preserve">9</t>
    </r>
    <r>
      <rPr>
        <b val="true"/>
        <sz val="14"/>
        <rFont val="WenQuanYi Zen Hei"/>
        <family val="2"/>
      </rPr>
      <t xml:space="preserve">月の質問内容の分類より</t>
    </r>
    <r>
      <rPr>
        <b val="true"/>
        <sz val="14"/>
        <rFont val="游ゴシック"/>
        <family val="0"/>
        <charset val="1"/>
      </rPr>
      <t xml:space="preserve">)</t>
    </r>
  </si>
  <si>
    <t xml:space="preserve">分野</t>
  </si>
  <si>
    <t xml:space="preserve">主な内容</t>
  </si>
  <si>
    <t xml:space="preserve">政策文書・資料作成</t>
  </si>
  <si>
    <t xml:space="preserve">説明資料のたたき台、会議資料・国の通知の要約、監査や条例制定に関する文書</t>
  </si>
  <si>
    <t xml:space="preserve">条例・規程に基づく実務判断</t>
  </si>
  <si>
    <t xml:space="preserve">工事約款、財産条例、給与条例、港湾施設管理条例など、条文を示して根拠を確認</t>
  </si>
  <si>
    <t xml:space="preserve">議会対応</t>
  </si>
  <si>
    <r>
      <rPr>
        <sz val="11"/>
        <rFont val="WenQuanYi Zen Hei"/>
        <family val="2"/>
      </rPr>
      <t xml:space="preserve">想定質問の洗い出し、答弁案の作成・校正、過去答弁の参照</t>
    </r>
    <r>
      <rPr>
        <sz val="11"/>
        <rFont val="游ゴシック"/>
        <family val="0"/>
        <charset val="1"/>
      </rPr>
      <t xml:space="preserve">(9</t>
    </r>
    <r>
      <rPr>
        <sz val="11"/>
        <rFont val="WenQuanYi Zen Hei"/>
        <family val="2"/>
      </rPr>
      <t xml:space="preserve">月定例会で利用が集中</t>
    </r>
    <r>
      <rPr>
        <sz val="11"/>
        <rFont val="游ゴシック"/>
        <family val="0"/>
        <charset val="1"/>
      </rPr>
      <t xml:space="preserve">)</t>
    </r>
  </si>
  <si>
    <t xml:space="preserve">契約・会計・人事</t>
  </si>
  <si>
    <t xml:space="preserve">随意契約の要否、印紙税、時間外勤務の扱いなど</t>
  </si>
  <si>
    <t xml:space="preserve">対外文書</t>
  </si>
  <si>
    <t xml:space="preserve">挨拶文、協議会の案内、催促・御礼メールの作成・添削</t>
  </si>
  <si>
    <t xml:space="preserve">業務ツール開発</t>
  </si>
  <si>
    <r>
      <rPr>
        <sz val="11"/>
        <rFont val="游ゴシック"/>
        <family val="0"/>
        <charset val="1"/>
      </rPr>
      <t xml:space="preserve">Excel</t>
    </r>
    <r>
      <rPr>
        <sz val="11"/>
        <rFont val="WenQuanYi Zen Hei"/>
        <family val="2"/>
      </rPr>
      <t xml:space="preserve">関数・マクロ、</t>
    </r>
    <r>
      <rPr>
        <sz val="11"/>
        <rFont val="游ゴシック"/>
        <family val="0"/>
        <charset val="1"/>
      </rPr>
      <t xml:space="preserve">Google Apps Script </t>
    </r>
    <r>
      <rPr>
        <sz val="11"/>
        <rFont val="WenQuanYi Zen Hei"/>
        <family val="2"/>
      </rPr>
      <t xml:space="preserve">による発注・集計用</t>
    </r>
    <r>
      <rPr>
        <sz val="11"/>
        <rFont val="游ゴシック"/>
        <family val="0"/>
        <charset val="1"/>
      </rPr>
      <t xml:space="preserve">Web</t>
    </r>
    <r>
      <rPr>
        <sz val="11"/>
        <rFont val="WenQuanYi Zen Hei"/>
        <family val="2"/>
      </rPr>
      <t xml:space="preserve">アプリの作成</t>
    </r>
  </si>
  <si>
    <t xml:space="preserve">定型文の作成にとどまらず、条例解釈や議会答弁など正確性が求められる中核業務で活用されている。職員が自ら業務ツールを作るなど、導入前には想定していなかった使い方も生まれている。</t>
  </si>
  <si>
    <t xml:space="preserve">見えてきた課題</t>
  </si>
  <si>
    <t xml:space="preserve">課題</t>
  </si>
  <si>
    <t xml:space="preserve">内容</t>
  </si>
  <si>
    <t xml:space="preserve">ベンダー都合のモデル停止</t>
  </si>
  <si>
    <r>
      <rPr>
        <sz val="11"/>
        <rFont val="游ゴシック"/>
        <family val="0"/>
        <charset val="1"/>
      </rPr>
      <t xml:space="preserve">9/17</t>
    </r>
    <r>
      <rPr>
        <sz val="11"/>
        <rFont val="WenQuanYi Zen Hei"/>
        <family val="2"/>
      </rPr>
      <t xml:space="preserve">に無償プランを対象に </t>
    </r>
    <r>
      <rPr>
        <sz val="11"/>
        <rFont val="游ゴシック"/>
        <family val="0"/>
        <charset val="1"/>
      </rPr>
      <t xml:space="preserve">Claude Opus</t>
    </r>
    <r>
      <rPr>
        <sz val="11"/>
        <rFont val="WenQuanYi Zen Hei"/>
        <family val="2"/>
      </rPr>
      <t xml:space="preserve">・</t>
    </r>
    <r>
      <rPr>
        <sz val="11"/>
        <rFont val="游ゴシック"/>
        <family val="0"/>
        <charset val="1"/>
      </rPr>
      <t xml:space="preserve">Sonnet </t>
    </r>
    <r>
      <rPr>
        <sz val="11"/>
        <rFont val="WenQuanYi Zen Hei"/>
        <family val="2"/>
      </rPr>
      <t xml:space="preserve">が停止。停止前後の平日</t>
    </r>
    <r>
      <rPr>
        <sz val="11"/>
        <rFont val="游ゴシック"/>
        <family val="0"/>
        <charset val="1"/>
      </rPr>
      <t xml:space="preserve">1</t>
    </r>
    <r>
      <rPr>
        <sz val="11"/>
        <rFont val="WenQuanYi Zen Hei"/>
        <family val="2"/>
      </rPr>
      <t xml:space="preserve">日平均で利用回数</t>
    </r>
    <r>
      <rPr>
        <sz val="11"/>
        <rFont val="游ゴシック"/>
        <family val="0"/>
        <charset val="1"/>
      </rPr>
      <t xml:space="preserve">-32%</t>
    </r>
    <r>
      <rPr>
        <sz val="11"/>
        <rFont val="WenQuanYi Zen Hei"/>
        <family val="2"/>
      </rPr>
      <t xml:space="preserve">、利用者</t>
    </r>
    <r>
      <rPr>
        <sz val="11"/>
        <rFont val="游ゴシック"/>
        <family val="0"/>
        <charset val="1"/>
      </rPr>
      <t xml:space="preserve">-25%</t>
    </r>
    <r>
      <rPr>
        <sz val="11"/>
        <rFont val="WenQuanYi Zen Hei"/>
        <family val="2"/>
      </rPr>
      <t xml:space="preserve">。</t>
    </r>
    <r>
      <rPr>
        <sz val="11"/>
        <rFont val="游ゴシック"/>
        <family val="0"/>
        <charset val="1"/>
      </rPr>
      <t xml:space="preserve">9</t>
    </r>
    <r>
      <rPr>
        <sz val="11"/>
        <rFont val="WenQuanYi Zen Hei"/>
        <family val="2"/>
      </rPr>
      <t xml:space="preserve">月末時点で再開していない</t>
    </r>
  </si>
  <si>
    <t xml:space="preserve">代替モデルの精度</t>
  </si>
  <si>
    <r>
      <rPr>
        <sz val="11"/>
        <rFont val="WenQuanYi Zen Hei"/>
        <family val="2"/>
      </rPr>
      <t xml:space="preserve">停止を受けて </t>
    </r>
    <r>
      <rPr>
        <sz val="11"/>
        <rFont val="游ゴシック"/>
        <family val="0"/>
        <charset val="1"/>
      </rPr>
      <t xml:space="preserve">Claude Haiku 4.5(</t>
    </r>
    <r>
      <rPr>
        <sz val="11"/>
        <rFont val="WenQuanYi Zen Hei"/>
        <family val="2"/>
      </rPr>
      <t xml:space="preserve">軽量モデル</t>
    </r>
    <r>
      <rPr>
        <sz val="11"/>
        <rFont val="游ゴシック"/>
        <family val="0"/>
        <charset val="1"/>
      </rPr>
      <t xml:space="preserve">)</t>
    </r>
    <r>
      <rPr>
        <sz val="11"/>
        <rFont val="WenQuanYi Zen Hei"/>
        <family val="2"/>
      </rPr>
      <t xml:space="preserve">を開放したが、条例解釈・議会答弁・庁内文書検索など精度が求められる用途での利用が多い。</t>
    </r>
    <r>
      <rPr>
        <sz val="11"/>
        <rFont val="游ゴシック"/>
        <family val="0"/>
        <charset val="1"/>
      </rPr>
      <t xml:space="preserve">10/5</t>
    </r>
    <r>
      <rPr>
        <sz val="11"/>
        <rFont val="WenQuanYi Zen Hei"/>
        <family val="2"/>
      </rPr>
      <t xml:space="preserve">のコモンズ通信で使い分けを呼びかける</t>
    </r>
  </si>
  <si>
    <r>
      <rPr>
        <b val="true"/>
        <sz val="11"/>
        <rFont val="WenQuanYi Zen Hei"/>
        <family val="2"/>
      </rPr>
      <t xml:space="preserve">無償プランの</t>
    </r>
    <r>
      <rPr>
        <b val="true"/>
        <sz val="11"/>
        <rFont val="游ゴシック"/>
        <family val="0"/>
        <charset val="1"/>
      </rPr>
      <t xml:space="preserve">1,000</t>
    </r>
    <r>
      <rPr>
        <b val="true"/>
        <sz val="11"/>
        <rFont val="WenQuanYi Zen Hei"/>
        <family val="2"/>
      </rPr>
      <t xml:space="preserve">アカウント上限</t>
    </r>
  </si>
  <si>
    <r>
      <rPr>
        <sz val="11"/>
        <rFont val="WenQuanYi Zen Hei"/>
        <family val="2"/>
      </rPr>
      <t xml:space="preserve">登録者</t>
    </r>
    <r>
      <rPr>
        <sz val="11"/>
        <rFont val="游ゴシック"/>
        <family val="0"/>
        <charset val="1"/>
      </rPr>
      <t xml:space="preserve">938</t>
    </r>
    <r>
      <rPr>
        <sz val="11"/>
        <rFont val="WenQuanYi Zen Hei"/>
        <family val="2"/>
      </rPr>
      <t xml:space="preserve">人</t>
    </r>
    <r>
      <rPr>
        <sz val="11"/>
        <rFont val="游ゴシック"/>
        <family val="0"/>
        <charset val="1"/>
      </rPr>
      <t xml:space="preserve">(10/1</t>
    </r>
    <r>
      <rPr>
        <sz val="11"/>
        <rFont val="WenQuanYi Zen Hei"/>
        <family val="2"/>
      </rPr>
      <t xml:space="preserve">時点</t>
    </r>
    <r>
      <rPr>
        <sz val="11"/>
        <rFont val="游ゴシック"/>
        <family val="0"/>
        <charset val="1"/>
      </rPr>
      <t xml:space="preserve">)</t>
    </r>
    <r>
      <rPr>
        <sz val="11"/>
        <rFont val="WenQuanYi Zen Hei"/>
        <family val="2"/>
      </rPr>
      <t xml:space="preserve">。未利用アカウントの棚卸し</t>
    </r>
    <r>
      <rPr>
        <sz val="11"/>
        <rFont val="游ゴシック"/>
        <family val="0"/>
        <charset val="1"/>
      </rPr>
      <t xml:space="preserve">(8</t>
    </r>
    <r>
      <rPr>
        <sz val="11"/>
        <rFont val="WenQuanYi Zen Hei"/>
        <family val="2"/>
      </rPr>
      <t xml:space="preserve">月</t>
    </r>
    <r>
      <rPr>
        <sz val="11"/>
        <rFont val="游ゴシック"/>
        <family val="0"/>
        <charset val="1"/>
      </rPr>
      <t xml:space="preserve">170</t>
    </r>
    <r>
      <rPr>
        <sz val="11"/>
        <rFont val="WenQuanYi Zen Hei"/>
        <family val="2"/>
      </rPr>
      <t xml:space="preserve">人、</t>
    </r>
    <r>
      <rPr>
        <sz val="11"/>
        <rFont val="游ゴシック"/>
        <family val="0"/>
        <charset val="1"/>
      </rPr>
      <t xml:space="preserve">9</t>
    </r>
    <r>
      <rPr>
        <sz val="11"/>
        <rFont val="WenQuanYi Zen Hei"/>
        <family val="2"/>
      </rPr>
      <t xml:space="preserve">月</t>
    </r>
    <r>
      <rPr>
        <sz val="11"/>
        <rFont val="游ゴシック"/>
        <family val="0"/>
        <charset val="1"/>
      </rPr>
      <t xml:space="preserve">43</t>
    </r>
    <r>
      <rPr>
        <sz val="11"/>
        <rFont val="WenQuanYi Zen Hei"/>
        <family val="2"/>
      </rPr>
      <t xml:space="preserve">人</t>
    </r>
    <r>
      <rPr>
        <sz val="11"/>
        <rFont val="游ゴシック"/>
        <family val="0"/>
        <charset val="1"/>
      </rPr>
      <t xml:space="preserve">)</t>
    </r>
    <r>
      <rPr>
        <sz val="11"/>
        <rFont val="WenQuanYi Zen Hei"/>
        <family val="2"/>
      </rPr>
      <t xml:space="preserve">で枠内を維持しているが、利用拡大の制約になっている</t>
    </r>
  </si>
  <si>
    <t xml:space="preserve">有償プランの利用量上限</t>
  </si>
  <si>
    <r>
      <rPr>
        <sz val="11"/>
        <rFont val="WenQuanYi Zen Hei"/>
        <family val="2"/>
      </rPr>
      <t xml:space="preserve">有償プランでは標準・高性能モデルに月</t>
    </r>
    <r>
      <rPr>
        <sz val="11"/>
        <rFont val="游ゴシック"/>
        <family val="0"/>
        <charset val="1"/>
      </rPr>
      <t xml:space="preserve">3</t>
    </r>
    <r>
      <rPr>
        <sz val="11"/>
        <rFont val="WenQuanYi Zen Hei"/>
        <family val="2"/>
      </rPr>
      <t xml:space="preserve">億トークンの上限がかかる。現状の利用量で上限の約</t>
    </r>
    <r>
      <rPr>
        <sz val="11"/>
        <rFont val="游ゴシック"/>
        <family val="0"/>
        <charset val="1"/>
      </rPr>
      <t xml:space="preserve">4</t>
    </r>
    <r>
      <rPr>
        <sz val="11"/>
        <rFont val="WenQuanYi Zen Hei"/>
        <family val="2"/>
      </rPr>
      <t xml:space="preserve">〜</t>
    </r>
    <r>
      <rPr>
        <sz val="11"/>
        <rFont val="游ゴシック"/>
        <family val="0"/>
        <charset val="1"/>
      </rPr>
      <t xml:space="preserve">6</t>
    </r>
    <r>
      <rPr>
        <sz val="11"/>
        <rFont val="WenQuanYi Zen Hei"/>
        <family val="2"/>
      </rPr>
      <t xml:space="preserve">割と試算</t>
    </r>
    <r>
      <rPr>
        <sz val="11"/>
        <rFont val="游ゴシック"/>
        <family val="0"/>
        <charset val="1"/>
      </rPr>
      <t xml:space="preserve">(</t>
    </r>
    <r>
      <rPr>
        <sz val="11"/>
        <rFont val="WenQuanYi Zen Hei"/>
        <family val="2"/>
      </rPr>
      <t xml:space="preserve">ベンダーに算定方法を確認中</t>
    </r>
    <r>
      <rPr>
        <sz val="11"/>
        <rFont val="游ゴシック"/>
        <family val="0"/>
        <charset val="1"/>
      </rPr>
      <t xml:space="preserve">)</t>
    </r>
  </si>
  <si>
    <t xml:space="preserve">ファイル出力機能がない</t>
  </si>
  <si>
    <r>
      <rPr>
        <sz val="11"/>
        <rFont val="游ゴシック"/>
        <family val="0"/>
        <charset val="1"/>
      </rPr>
      <t xml:space="preserve">Word</t>
    </r>
    <r>
      <rPr>
        <sz val="11"/>
        <rFont val="WenQuanYi Zen Hei"/>
        <family val="2"/>
      </rPr>
      <t xml:space="preserve">・</t>
    </r>
    <r>
      <rPr>
        <sz val="11"/>
        <rFont val="游ゴシック"/>
        <family val="0"/>
        <charset val="1"/>
      </rPr>
      <t xml:space="preserve">Excel</t>
    </r>
    <r>
      <rPr>
        <sz val="11"/>
        <rFont val="WenQuanYi Zen Hei"/>
        <family val="2"/>
      </rPr>
      <t xml:space="preserve">等のファイルを直接作れない。中間アンケートでも要望が多い</t>
    </r>
  </si>
  <si>
    <t xml:space="preserve">利用ログ出力の不具合</t>
  </si>
  <si>
    <r>
      <rPr>
        <sz val="11"/>
        <rFont val="游ゴシック"/>
        <family val="0"/>
        <charset val="1"/>
      </rPr>
      <t xml:space="preserve">10</t>
    </r>
    <r>
      <rPr>
        <sz val="11"/>
        <rFont val="WenQuanYi Zen Hei"/>
        <family val="2"/>
      </rPr>
      <t xml:space="preserve">月に新しくなった管理画面の</t>
    </r>
    <r>
      <rPr>
        <sz val="11"/>
        <rFont val="游ゴシック"/>
        <family val="0"/>
        <charset val="1"/>
      </rPr>
      <t xml:space="preserve">CSV</t>
    </r>
    <r>
      <rPr>
        <sz val="11"/>
        <rFont val="WenQuanYi Zen Hei"/>
        <family val="2"/>
      </rPr>
      <t xml:space="preserve">に、件数の打ち切りと重複がある。ベンダーに改善を依頼</t>
    </r>
  </si>
  <si>
    <t xml:space="preserve">今後のビジョン</t>
  </si>
  <si>
    <t xml:space="preserve">#</t>
  </si>
  <si>
    <t xml:space="preserve">取組</t>
  </si>
  <si>
    <t xml:space="preserve">時期</t>
  </si>
  <si>
    <r>
      <rPr>
        <b val="true"/>
        <sz val="11"/>
        <rFont val="WenQuanYi Zen Hei"/>
        <family val="2"/>
      </rPr>
      <t xml:space="preserve">利用者の拡大</t>
    </r>
    <r>
      <rPr>
        <b val="true"/>
        <sz val="11"/>
        <rFont val="游ゴシック"/>
        <family val="0"/>
        <charset val="1"/>
      </rPr>
      <t xml:space="preserve">(</t>
    </r>
    <r>
      <rPr>
        <b val="true"/>
        <sz val="11"/>
        <rFont val="WenQuanYi Zen Hei"/>
        <family val="2"/>
      </rPr>
      <t xml:space="preserve">アカウント</t>
    </r>
    <r>
      <rPr>
        <b val="true"/>
        <sz val="11"/>
        <rFont val="游ゴシック"/>
        <family val="0"/>
        <charset val="1"/>
      </rPr>
      <t xml:space="preserve">1,000</t>
    </r>
    <r>
      <rPr>
        <b val="true"/>
        <sz val="11"/>
        <rFont val="WenQuanYi Zen Hei"/>
        <family val="2"/>
      </rPr>
      <t xml:space="preserve">追加</t>
    </r>
    <r>
      <rPr>
        <b val="true"/>
        <sz val="11"/>
        <rFont val="游ゴシック"/>
        <family val="0"/>
        <charset val="1"/>
      </rPr>
      <t xml:space="preserve">)</t>
    </r>
  </si>
  <si>
    <r>
      <rPr>
        <sz val="11"/>
        <rFont val="WenQuanYi Zen Hei"/>
        <family val="2"/>
      </rPr>
      <t xml:space="preserve">有償プランへ移行し、アカウントを</t>
    </r>
    <r>
      <rPr>
        <sz val="11"/>
        <rFont val="游ゴシック"/>
        <family val="0"/>
        <charset val="1"/>
      </rPr>
      <t xml:space="preserve">1,000</t>
    </r>
    <r>
      <rPr>
        <sz val="11"/>
        <rFont val="WenQuanYi Zen Hei"/>
        <family val="2"/>
      </rPr>
      <t xml:space="preserve">から</t>
    </r>
    <r>
      <rPr>
        <sz val="11"/>
        <rFont val="游ゴシック"/>
        <family val="0"/>
        <charset val="1"/>
      </rPr>
      <t xml:space="preserve">2,000</t>
    </r>
    <r>
      <rPr>
        <sz val="11"/>
        <rFont val="WenQuanYi Zen Hei"/>
        <family val="2"/>
      </rPr>
      <t xml:space="preserve">に拡大する。無償プランの上限で交付を抑えてきた職員にも門戸を広げ、全庁での活用を進める。あわせて</t>
    </r>
    <r>
      <rPr>
        <sz val="11"/>
        <rFont val="游ゴシック"/>
        <family val="0"/>
        <charset val="1"/>
      </rPr>
      <t xml:space="preserve">Claude</t>
    </r>
    <r>
      <rPr>
        <sz val="11"/>
        <rFont val="WenQuanYi Zen Hei"/>
        <family val="2"/>
      </rPr>
      <t xml:space="preserve">系モデルの停止も解消される</t>
    </r>
  </si>
  <si>
    <t xml:space="preserve">年内に移行を検討</t>
  </si>
  <si>
    <r>
      <rPr>
        <b val="true"/>
        <sz val="11"/>
        <rFont val="游ゴシック"/>
        <family val="0"/>
        <charset val="1"/>
      </rPr>
      <t xml:space="preserve">AI</t>
    </r>
    <r>
      <rPr>
        <b val="true"/>
        <sz val="11"/>
        <rFont val="WenQuanYi Zen Hei"/>
        <family val="2"/>
      </rPr>
      <t xml:space="preserve">リテラシーの向上</t>
    </r>
  </si>
  <si>
    <t xml:space="preserve">正確性が求められる業務でのモデルの使い分け、出典・根拠の確認、個人情報の扱いなど、安全で効果的な使い方を全庁に浸透させる。コモンズ通信での周知を継続する</t>
  </si>
  <si>
    <t xml:space="preserve">通年</t>
  </si>
  <si>
    <t xml:space="preserve">定期研修の実施</t>
  </si>
  <si>
    <r>
      <rPr>
        <sz val="11"/>
        <rFont val="WenQuanYi Zen Hei"/>
        <family val="2"/>
      </rPr>
      <t xml:space="preserve">毎月</t>
    </r>
    <r>
      <rPr>
        <sz val="11"/>
        <rFont val="游ゴシック"/>
        <family val="0"/>
        <charset val="1"/>
      </rPr>
      <t xml:space="preserve">1</t>
    </r>
    <r>
      <rPr>
        <sz val="11"/>
        <rFont val="WenQuanYi Zen Hei"/>
        <family val="2"/>
      </rPr>
      <t xml:space="preserve">回程度、実務に即した研修を実施する</t>
    </r>
    <r>
      <rPr>
        <sz val="11"/>
        <rFont val="游ゴシック"/>
        <family val="0"/>
        <charset val="1"/>
      </rPr>
      <t xml:space="preserve">(</t>
    </r>
    <r>
      <rPr>
        <sz val="11"/>
        <rFont val="WenQuanYi Zen Hei"/>
        <family val="2"/>
      </rPr>
      <t xml:space="preserve">プロンプトの作り方、議会答弁・文書作成・業務ツール作成などの活用事例</t>
    </r>
    <r>
      <rPr>
        <sz val="11"/>
        <rFont val="游ゴシック"/>
        <family val="0"/>
        <charset val="1"/>
      </rPr>
      <t xml:space="preserve">)</t>
    </r>
    <r>
      <rPr>
        <sz val="11"/>
        <rFont val="WenQuanYi Zen Hei"/>
        <family val="2"/>
      </rPr>
      <t xml:space="preserve">。未利用職員の利用開始も後押しする</t>
    </r>
  </si>
  <si>
    <r>
      <rPr>
        <sz val="11"/>
        <rFont val="WenQuanYi Zen Hei"/>
        <family val="2"/>
      </rPr>
      <t xml:space="preserve">毎月</t>
    </r>
    <r>
      <rPr>
        <sz val="11"/>
        <rFont val="游ゴシック"/>
        <family val="0"/>
        <charset val="1"/>
      </rPr>
      <t xml:space="preserve">1</t>
    </r>
    <r>
      <rPr>
        <sz val="11"/>
        <rFont val="WenQuanYi Zen Hei"/>
        <family val="2"/>
      </rPr>
      <t xml:space="preserve">回程度</t>
    </r>
  </si>
  <si>
    <t xml:space="preserve">新技術の導入に向けた情報収集</t>
  </si>
  <si>
    <r>
      <rPr>
        <sz val="11"/>
        <rFont val="游ゴシック"/>
        <family val="0"/>
        <charset val="1"/>
      </rPr>
      <t xml:space="preserve">AI</t>
    </r>
    <r>
      <rPr>
        <sz val="11"/>
        <rFont val="WenQuanYi Zen Hei"/>
        <family val="2"/>
      </rPr>
      <t xml:space="preserve">エージェント、</t>
    </r>
    <r>
      <rPr>
        <sz val="11"/>
        <rFont val="游ゴシック"/>
        <family val="0"/>
        <charset val="1"/>
      </rPr>
      <t xml:space="preserve">AI</t>
    </r>
    <r>
      <rPr>
        <sz val="11"/>
        <rFont val="WenQuanYi Zen Hei"/>
        <family val="2"/>
      </rPr>
      <t xml:space="preserve">電話対応など新しい技術について、他自治体の事例や製品の情報を収集し、本市での導入可能性を検討する</t>
    </r>
  </si>
  <si>
    <t xml:space="preserve">随時</t>
  </si>
  <si>
    <r>
      <rPr>
        <b val="true"/>
        <sz val="11"/>
        <rFont val="游ゴシック"/>
        <family val="0"/>
        <charset val="1"/>
      </rPr>
      <t xml:space="preserve">AI</t>
    </r>
    <r>
      <rPr>
        <b val="true"/>
        <sz val="11"/>
        <rFont val="WenQuanYi Zen Hei"/>
        <family val="2"/>
      </rPr>
      <t xml:space="preserve">エージェントの試行</t>
    </r>
    <r>
      <rPr>
        <b val="true"/>
        <sz val="11"/>
        <rFont val="游ゴシック"/>
        <family val="0"/>
        <charset val="1"/>
      </rPr>
      <t xml:space="preserve">(AI</t>
    </r>
    <r>
      <rPr>
        <b val="true"/>
        <sz val="11"/>
        <rFont val="WenQuanYi Zen Hei"/>
        <family val="2"/>
      </rPr>
      <t xml:space="preserve">推進リーダー向け</t>
    </r>
    <r>
      <rPr>
        <b val="true"/>
        <sz val="11"/>
        <rFont val="游ゴシック"/>
        <family val="0"/>
        <charset val="1"/>
      </rPr>
      <t xml:space="preserve">)</t>
    </r>
  </si>
  <si>
    <r>
      <rPr>
        <sz val="11"/>
        <rFont val="游ゴシック"/>
        <family val="0"/>
        <charset val="1"/>
      </rPr>
      <t xml:space="preserve">AI</t>
    </r>
    <r>
      <rPr>
        <sz val="11"/>
        <rFont val="WenQuanYi Zen Hei"/>
        <family val="2"/>
      </rPr>
      <t xml:space="preserve">エージェント機能を持つ新システムを、</t>
    </r>
    <r>
      <rPr>
        <sz val="11"/>
        <rFont val="游ゴシック"/>
        <family val="0"/>
        <charset val="1"/>
      </rPr>
      <t xml:space="preserve">AI</t>
    </r>
    <r>
      <rPr>
        <sz val="11"/>
        <rFont val="WenQuanYi Zen Hei"/>
        <family val="2"/>
      </rPr>
      <t xml:space="preserve">推進リーダーを対象に導入する</t>
    </r>
    <r>
      <rPr>
        <sz val="11"/>
        <rFont val="游ゴシック"/>
        <family val="0"/>
        <charset val="1"/>
      </rPr>
      <t xml:space="preserve">(</t>
    </r>
    <r>
      <rPr>
        <sz val="11"/>
        <rFont val="WenQuanYi Zen Hei"/>
        <family val="2"/>
      </rPr>
      <t xml:space="preserve">同時接続</t>
    </r>
    <r>
      <rPr>
        <sz val="11"/>
        <rFont val="游ゴシック"/>
        <family val="0"/>
        <charset val="1"/>
      </rPr>
      <t xml:space="preserve">30</t>
    </r>
    <r>
      <rPr>
        <sz val="11"/>
        <rFont val="WenQuanYi Zen Hei"/>
        <family val="2"/>
      </rPr>
      <t xml:space="preserve">名規模</t>
    </r>
    <r>
      <rPr>
        <sz val="11"/>
        <rFont val="游ゴシック"/>
        <family val="0"/>
        <charset val="1"/>
      </rPr>
      <t xml:space="preserve">)</t>
    </r>
    <r>
      <rPr>
        <sz val="11"/>
        <rFont val="WenQuanYi Zen Hei"/>
        <family val="2"/>
      </rPr>
      <t xml:space="preserve">。要件には、ファイル出力機能と、利用量・モデル停止に関する契約条件の明示を含める</t>
    </r>
  </si>
  <si>
    <t xml:space="preserve">来春プロポーザル</t>
  </si>
  <si>
    <t xml:space="preserve">効果測定の精度向上</t>
  </si>
  <si>
    <t xml:space="preserve">職員アンケートで実際の削減時間を把握し、利用ログからの推計を実測値に置き換える</t>
  </si>
  <si>
    <t xml:space="preserve">継続</t>
  </si>
  <si>
    <r>
      <rPr>
        <b val="true"/>
        <sz val="11"/>
        <rFont val="WenQuanYi Zen Hei"/>
        <family val="2"/>
      </rPr>
      <t xml:space="preserve">参考</t>
    </r>
    <r>
      <rPr>
        <b val="true"/>
        <sz val="11"/>
        <rFont val="游ゴシック"/>
        <family val="0"/>
        <charset val="1"/>
      </rPr>
      <t xml:space="preserve">: </t>
    </r>
    <r>
      <rPr>
        <b val="true"/>
        <sz val="11"/>
        <rFont val="WenQuanYi Zen Hei"/>
        <family val="2"/>
      </rPr>
      <t xml:space="preserve">アカウント拡大後の利用規模</t>
    </r>
    <r>
      <rPr>
        <b val="true"/>
        <sz val="11"/>
        <rFont val="游ゴシック"/>
        <family val="0"/>
        <charset val="1"/>
      </rPr>
      <t xml:space="preserve">(</t>
    </r>
    <r>
      <rPr>
        <b val="true"/>
        <sz val="11"/>
        <rFont val="WenQuanYi Zen Hei"/>
        <family val="2"/>
      </rPr>
      <t xml:space="preserve">試算</t>
    </r>
    <r>
      <rPr>
        <b val="true"/>
        <sz val="11"/>
        <rFont val="游ゴシック"/>
        <family val="0"/>
        <charset val="1"/>
      </rPr>
      <t xml:space="preserve">)</t>
    </r>
  </si>
  <si>
    <r>
      <rPr>
        <sz val="9"/>
        <color rgb="FF595959"/>
        <rFont val="WenQuanYi Zen Hei"/>
        <family val="2"/>
      </rPr>
      <t xml:space="preserve">黄色セル</t>
    </r>
    <r>
      <rPr>
        <sz val="9"/>
        <color rgb="FF595959"/>
        <rFont val="游ゴシック"/>
        <family val="0"/>
        <charset val="1"/>
      </rPr>
      <t xml:space="preserve">=</t>
    </r>
    <r>
      <rPr>
        <sz val="9"/>
        <color rgb="FF595959"/>
        <rFont val="WenQuanYi Zen Hei"/>
        <family val="2"/>
      </rPr>
      <t xml:space="preserve">前提</t>
    </r>
    <r>
      <rPr>
        <sz val="9"/>
        <color rgb="FF595959"/>
        <rFont val="游ゴシック"/>
        <family val="0"/>
        <charset val="1"/>
      </rPr>
      <t xml:space="preserve">(</t>
    </r>
    <r>
      <rPr>
        <sz val="9"/>
        <color rgb="FF595959"/>
        <rFont val="WenQuanYi Zen Hei"/>
        <family val="2"/>
      </rPr>
      <t xml:space="preserve">変更可</t>
    </r>
    <r>
      <rPr>
        <sz val="9"/>
        <color rgb="FF595959"/>
        <rFont val="游ゴシック"/>
        <family val="0"/>
        <charset val="1"/>
      </rPr>
      <t xml:space="preserve">)</t>
    </r>
    <r>
      <rPr>
        <sz val="9"/>
        <color rgb="FF595959"/>
        <rFont val="WenQuanYi Zen Hei"/>
        <family val="2"/>
      </rPr>
      <t xml:space="preserve">。現状値は「利用実績」シートの</t>
    </r>
    <r>
      <rPr>
        <sz val="9"/>
        <color rgb="FF595959"/>
        <rFont val="游ゴシック"/>
        <family val="0"/>
        <charset val="1"/>
      </rPr>
      <t xml:space="preserve">9</t>
    </r>
    <r>
      <rPr>
        <sz val="9"/>
        <color rgb="FF595959"/>
        <rFont val="WenQuanYi Zen Hei"/>
        <family val="2"/>
      </rPr>
      <t xml:space="preserve">月実績を参照</t>
    </r>
  </si>
  <si>
    <t xml:space="preserve">値</t>
  </si>
  <si>
    <t xml:space="preserve">拡大後のアカウント数</t>
  </si>
  <si>
    <r>
      <rPr>
        <sz val="9"/>
        <rFont val="WenQuanYi Zen Hei"/>
        <family val="2"/>
      </rPr>
      <t xml:space="preserve">現行</t>
    </r>
    <r>
      <rPr>
        <sz val="9"/>
        <rFont val="游ゴシック"/>
        <family val="0"/>
        <charset val="1"/>
      </rPr>
      <t xml:space="preserve">1,000</t>
    </r>
    <r>
      <rPr>
        <sz val="9"/>
        <rFont val="WenQuanYi Zen Hei"/>
        <family val="2"/>
      </rPr>
      <t xml:space="preserve">枠</t>
    </r>
    <r>
      <rPr>
        <sz val="9"/>
        <rFont val="游ゴシック"/>
        <family val="0"/>
        <charset val="1"/>
      </rPr>
      <t xml:space="preserve">+1,000</t>
    </r>
    <r>
      <rPr>
        <sz val="9"/>
        <rFont val="WenQuanYi Zen Hei"/>
        <family val="2"/>
      </rPr>
      <t xml:space="preserve">追加</t>
    </r>
  </si>
  <si>
    <t xml:space="preserve">想定利用率</t>
  </si>
  <si>
    <r>
      <rPr>
        <sz val="9"/>
        <rFont val="游ゴシック"/>
        <family val="0"/>
        <charset val="1"/>
      </rPr>
      <t xml:space="preserve">9</t>
    </r>
    <r>
      <rPr>
        <sz val="9"/>
        <rFont val="WenQuanYi Zen Hei"/>
        <family val="2"/>
      </rPr>
      <t xml:space="preserve">月実績</t>
    </r>
    <r>
      <rPr>
        <sz val="9"/>
        <rFont val="游ゴシック"/>
        <family val="0"/>
        <charset val="1"/>
      </rPr>
      <t xml:space="preserve">(76.0%)</t>
    </r>
    <r>
      <rPr>
        <sz val="9"/>
        <rFont val="WenQuanYi Zen Hei"/>
        <family val="2"/>
      </rPr>
      <t xml:space="preserve">を仮定。変更可</t>
    </r>
  </si>
  <si>
    <r>
      <rPr>
        <sz val="11"/>
        <rFont val="WenQuanYi Zen Hei"/>
        <family val="2"/>
      </rPr>
      <t xml:space="preserve">想定利用者数</t>
    </r>
    <r>
      <rPr>
        <sz val="11"/>
        <rFont val="游ゴシック"/>
        <family val="0"/>
        <charset val="1"/>
      </rPr>
      <t xml:space="preserve">(</t>
    </r>
    <r>
      <rPr>
        <sz val="11"/>
        <rFont val="WenQuanYi Zen Hei"/>
        <family val="2"/>
      </rPr>
      <t xml:space="preserve">人</t>
    </r>
    <r>
      <rPr>
        <sz val="11"/>
        <rFont val="游ゴシック"/>
        <family val="0"/>
        <charset val="1"/>
      </rPr>
      <t xml:space="preserve">)</t>
    </r>
  </si>
  <si>
    <r>
      <rPr>
        <sz val="11"/>
        <rFont val="游ゴシック"/>
        <family val="0"/>
        <charset val="1"/>
      </rPr>
      <t xml:space="preserve">1</t>
    </r>
    <r>
      <rPr>
        <sz val="11"/>
        <rFont val="WenQuanYi Zen Hei"/>
        <family val="2"/>
      </rPr>
      <t xml:space="preserve">人あたり月間質問件数</t>
    </r>
  </si>
  <si>
    <r>
      <rPr>
        <sz val="9"/>
        <rFont val="游ゴシック"/>
        <family val="0"/>
        <charset val="1"/>
      </rPr>
      <t xml:space="preserve">9</t>
    </r>
    <r>
      <rPr>
        <sz val="9"/>
        <rFont val="WenQuanYi Zen Hei"/>
        <family val="2"/>
      </rPr>
      <t xml:space="preserve">月実績を仮定</t>
    </r>
  </si>
  <si>
    <t xml:space="preserve">想定月間質問件数</t>
  </si>
  <si>
    <r>
      <rPr>
        <sz val="11"/>
        <rFont val="WenQuanYi Zen Hei"/>
        <family val="2"/>
      </rPr>
      <t xml:space="preserve">想定月間削減時間</t>
    </r>
    <r>
      <rPr>
        <sz val="11"/>
        <rFont val="游ゴシック"/>
        <family val="0"/>
        <charset val="1"/>
      </rPr>
      <t xml:space="preserve">(</t>
    </r>
    <r>
      <rPr>
        <sz val="11"/>
        <rFont val="WenQuanYi Zen Hei"/>
        <family val="2"/>
      </rPr>
      <t xml:space="preserve">時間</t>
    </r>
    <r>
      <rPr>
        <sz val="11"/>
        <rFont val="游ゴシック"/>
        <family val="0"/>
        <charset val="1"/>
      </rPr>
      <t xml:space="preserve">)</t>
    </r>
    <r>
      <rPr>
        <sz val="11"/>
        <rFont val="WenQuanYi Zen Hei"/>
        <family val="2"/>
      </rPr>
      <t xml:space="preserve">・控えめ</t>
    </r>
  </si>
  <si>
    <r>
      <rPr>
        <sz val="9"/>
        <rFont val="游ゴシック"/>
        <family val="0"/>
        <charset val="1"/>
      </rPr>
      <t xml:space="preserve">1</t>
    </r>
    <r>
      <rPr>
        <sz val="9"/>
        <rFont val="WenQuanYi Zen Hei"/>
        <family val="2"/>
      </rPr>
      <t xml:space="preserve">件</t>
    </r>
    <r>
      <rPr>
        <sz val="9"/>
        <rFont val="游ゴシック"/>
        <family val="0"/>
        <charset val="1"/>
      </rPr>
      <t xml:space="preserve">5</t>
    </r>
    <r>
      <rPr>
        <sz val="9"/>
        <rFont val="WenQuanYi Zen Hei"/>
        <family val="2"/>
      </rPr>
      <t xml:space="preserve">分で試算</t>
    </r>
  </si>
  <si>
    <r>
      <rPr>
        <sz val="11"/>
        <rFont val="WenQuanYi Zen Hei"/>
        <family val="2"/>
      </rPr>
      <t xml:space="preserve">想定月間削減時間</t>
    </r>
    <r>
      <rPr>
        <sz val="11"/>
        <rFont val="游ゴシック"/>
        <family val="0"/>
        <charset val="1"/>
      </rPr>
      <t xml:space="preserve">(</t>
    </r>
    <r>
      <rPr>
        <sz val="11"/>
        <rFont val="WenQuanYi Zen Hei"/>
        <family val="2"/>
      </rPr>
      <t xml:space="preserve">人日</t>
    </r>
    <r>
      <rPr>
        <sz val="11"/>
        <rFont val="游ゴシック"/>
        <family val="0"/>
        <charset val="1"/>
      </rPr>
      <t xml:space="preserve">)</t>
    </r>
    <r>
      <rPr>
        <sz val="11"/>
        <rFont val="WenQuanYi Zen Hei"/>
        <family val="2"/>
      </rPr>
      <t xml:space="preserve">・控えめ</t>
    </r>
  </si>
  <si>
    <r>
      <rPr>
        <sz val="9"/>
        <rFont val="WenQuanYi Zen Hei"/>
        <family val="2"/>
      </rPr>
      <t xml:space="preserve">※利用者を増やしたときに利用率・</t>
    </r>
    <r>
      <rPr>
        <sz val="9"/>
        <rFont val="游ゴシック"/>
        <family val="0"/>
        <charset val="1"/>
      </rPr>
      <t xml:space="preserve">1</t>
    </r>
    <r>
      <rPr>
        <sz val="9"/>
        <rFont val="WenQuanYi Zen Hei"/>
        <family val="2"/>
      </rPr>
      <t xml:space="preserve">人あたり件数が現状どおり続くとは限らない</t>
    </r>
    <r>
      <rPr>
        <sz val="9"/>
        <rFont val="游ゴシック"/>
        <family val="0"/>
        <charset val="1"/>
      </rPr>
      <t xml:space="preserve">(</t>
    </r>
    <r>
      <rPr>
        <sz val="9"/>
        <rFont val="WenQuanYi Zen Hei"/>
        <family val="2"/>
      </rPr>
      <t xml:space="preserve">新たに加わる職員は利用が少ない傾向</t>
    </r>
    <r>
      <rPr>
        <sz val="9"/>
        <rFont val="游ゴシック"/>
        <family val="0"/>
        <charset val="1"/>
      </rPr>
      <t xml:space="preserve">)</t>
    </r>
    <r>
      <rPr>
        <sz val="9"/>
        <rFont val="WenQuanYi Zen Hei"/>
        <family val="2"/>
      </rPr>
      <t xml:space="preserve">。また有償プランでは月</t>
    </r>
    <r>
      <rPr>
        <sz val="9"/>
        <rFont val="游ゴシック"/>
        <family val="0"/>
        <charset val="1"/>
      </rPr>
      <t xml:space="preserve">3</t>
    </r>
    <r>
      <rPr>
        <sz val="9"/>
        <rFont val="WenQuanYi Zen Hei"/>
        <family val="2"/>
      </rPr>
      <t xml:space="preserve">億トークンの上限があり、利用規模の拡大に合わせて上限への影響を確認する必要がある。</t>
    </r>
  </si>
</sst>
</file>

<file path=xl/styles.xml><?xml version="1.0" encoding="utf-8"?>
<styleSheet xmlns="http://schemas.openxmlformats.org/spreadsheetml/2006/main">
  <numFmts count="4">
    <numFmt numFmtId="164" formatCode="General"/>
    <numFmt numFmtId="165" formatCode="#,##0"/>
    <numFmt numFmtId="166" formatCode="0.0%"/>
    <numFmt numFmtId="167" formatCode="0.0"/>
  </numFmts>
  <fonts count="21">
    <font>
      <sz val="11"/>
      <color theme="1"/>
      <name val="Calibri"/>
      <family val="2"/>
      <charset val="1"/>
    </font>
    <font>
      <sz val="10"/>
      <name val="Arial"/>
      <family val="0"/>
    </font>
    <font>
      <sz val="10"/>
      <name val="Arial"/>
      <family val="0"/>
    </font>
    <font>
      <sz val="10"/>
      <name val="Arial"/>
      <family val="0"/>
    </font>
    <font>
      <b val="true"/>
      <sz val="14"/>
      <name val="WenQuanYi Zen Hei"/>
      <family val="2"/>
    </font>
    <font>
      <b val="true"/>
      <sz val="14"/>
      <name val="游ゴシック"/>
      <family val="0"/>
      <charset val="1"/>
    </font>
    <font>
      <sz val="11"/>
      <color rgb="FF595959"/>
      <name val="WenQuanYi Zen Hei"/>
      <family val="2"/>
    </font>
    <font>
      <b val="true"/>
      <sz val="11"/>
      <color rgb="FFFFFFFF"/>
      <name val="WenQuanYi Zen Hei"/>
      <family val="2"/>
    </font>
    <font>
      <b val="true"/>
      <sz val="11"/>
      <color rgb="FFFFFFFF"/>
      <name val="游ゴシック"/>
      <family val="0"/>
      <charset val="1"/>
    </font>
    <font>
      <sz val="11"/>
      <name val="WenQuanYi Zen Hei"/>
      <family val="2"/>
    </font>
    <font>
      <sz val="11"/>
      <color rgb="FF008000"/>
      <name val="游ゴシック"/>
      <family val="0"/>
      <charset val="1"/>
    </font>
    <font>
      <b val="true"/>
      <sz val="11"/>
      <name val="游ゴシック"/>
      <family val="0"/>
      <charset val="1"/>
    </font>
    <font>
      <sz val="11"/>
      <name val="游ゴシック"/>
      <family val="0"/>
      <charset val="1"/>
    </font>
    <font>
      <b val="true"/>
      <sz val="11"/>
      <name val="WenQuanYi Zen Hei"/>
      <family val="2"/>
    </font>
    <font>
      <sz val="9"/>
      <color rgb="FF595959"/>
      <name val="WenQuanYi Zen Hei"/>
      <family val="2"/>
    </font>
    <font>
      <sz val="9"/>
      <color rgb="FF595959"/>
      <name val="游ゴシック"/>
      <family val="0"/>
      <charset val="1"/>
    </font>
    <font>
      <sz val="11"/>
      <color rgb="FF0000FF"/>
      <name val="游ゴシック"/>
      <family val="0"/>
      <charset val="1"/>
    </font>
    <font>
      <sz val="9"/>
      <name val="WenQuanYi Zen Hei"/>
      <family val="2"/>
    </font>
    <font>
      <sz val="9"/>
      <name val="游ゴシック"/>
      <family val="0"/>
      <charset val="1"/>
    </font>
    <font>
      <sz val="10"/>
      <name val="Arial"/>
      <family val="2"/>
    </font>
    <font>
      <sz val="10"/>
      <name val="WenQuanYi Zen Hei"/>
      <family val="2"/>
    </font>
  </fonts>
  <fills count="4">
    <fill>
      <patternFill patternType="none"/>
    </fill>
    <fill>
      <patternFill patternType="gray125"/>
    </fill>
    <fill>
      <patternFill patternType="solid">
        <fgColor rgb="FF305496"/>
        <bgColor rgb="FF595959"/>
      </patternFill>
    </fill>
    <fill>
      <patternFill patternType="solid">
        <fgColor rgb="FFFFFF00"/>
        <bgColor rgb="FFFFFF00"/>
      </patternFill>
    </fill>
  </fills>
  <borders count="2">
    <border diagonalUp="false" diagonalDown="false">
      <left/>
      <right/>
      <top/>
      <bottom/>
      <diagonal/>
    </border>
    <border diagonalUp="false" diagonalDown="false">
      <left style="thin">
        <color rgb="FFA6A6A6"/>
      </left>
      <right style="thin">
        <color rgb="FFA6A6A6"/>
      </right>
      <top style="thin">
        <color rgb="FFA6A6A6"/>
      </top>
      <bottom style="thin">
        <color rgb="FFA6A6A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5" fontId="16" fillId="0" borderId="1" xfId="0" applyFont="true" applyBorder="true" applyAlignment="true" applyProtection="false">
      <alignment horizontal="right" vertical="bottom" textRotation="0" wrapText="false" indent="0" shrinkToFit="false"/>
      <protection locked="true" hidden="false"/>
    </xf>
    <xf numFmtId="164" fontId="17" fillId="0" borderId="1" xfId="0" applyFont="true" applyBorder="true" applyAlignment="false" applyProtection="false">
      <alignment horizontal="general" vertical="bottom" textRotation="0" wrapText="false" indent="0" shrinkToFit="false"/>
      <protection locked="true" hidden="false"/>
    </xf>
    <xf numFmtId="166" fontId="12" fillId="0" borderId="1" xfId="0" applyFont="true" applyBorder="true" applyAlignment="true" applyProtection="false">
      <alignment horizontal="right" vertical="bottom" textRotation="0" wrapText="false" indent="0" shrinkToFit="false"/>
      <protection locked="true" hidden="false"/>
    </xf>
    <xf numFmtId="165" fontId="12" fillId="0" borderId="1" xfId="0" applyFont="true" applyBorder="true" applyAlignment="true" applyProtection="false">
      <alignment horizontal="right" vertical="bottom" textRotation="0" wrapText="false" indent="0" shrinkToFit="false"/>
      <protection locked="true" hidden="false"/>
    </xf>
    <xf numFmtId="164" fontId="18"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7" fontId="12" fillId="0" borderId="1" xfId="0" applyFont="true" applyBorder="true" applyAlignment="true" applyProtection="false">
      <alignment horizontal="right" vertical="bottom" textRotation="0" wrapText="false" indent="0" shrinkToFit="false"/>
      <protection locked="true" hidden="false"/>
    </xf>
    <xf numFmtId="166" fontId="16" fillId="0" borderId="1" xfId="0" applyFont="true" applyBorder="true" applyAlignment="true" applyProtection="false">
      <alignment horizontal="right" vertical="bottom" textRotation="0" wrapText="false" indent="0" shrinkToFit="false"/>
      <protection locked="true" hidden="false"/>
    </xf>
    <xf numFmtId="164" fontId="18" fillId="0" borderId="0" xfId="0" applyFont="true" applyBorder="true" applyAlignment="true" applyProtection="false">
      <alignment horizontal="general" vertical="top" textRotation="0" wrapText="true" indent="0" shrinkToFit="false"/>
      <protection locked="true" hidden="false"/>
    </xf>
    <xf numFmtId="164" fontId="16" fillId="3" borderId="1" xfId="0" applyFont="true" applyBorder="true" applyAlignment="false" applyProtection="false">
      <alignment horizontal="general" vertical="bottom" textRotation="0" wrapText="false" indent="0" shrinkToFit="false"/>
      <protection locked="true" hidden="false"/>
    </xf>
    <xf numFmtId="165" fontId="12" fillId="0" borderId="1"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5" fontId="16" fillId="3" borderId="1" xfId="0" applyFont="true" applyBorder="true" applyAlignment="false" applyProtection="false">
      <alignment horizontal="general" vertical="bottom" textRotation="0" wrapText="false" indent="0" shrinkToFit="false"/>
      <protection locked="true" hidden="false"/>
    </xf>
    <xf numFmtId="164" fontId="17" fillId="0" borderId="1" xfId="0" applyFont="true" applyBorder="true" applyAlignment="true" applyProtection="false">
      <alignment horizontal="general" vertical="top" textRotation="0" wrapText="true" indent="0" shrinkToFit="false"/>
      <protection locked="true" hidden="false"/>
    </xf>
    <xf numFmtId="166" fontId="10" fillId="3" borderId="1" xfId="0" applyFont="true" applyBorder="true" applyAlignment="false" applyProtection="false">
      <alignment horizontal="general" vertical="bottom" textRotation="0" wrapText="fals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xf numFmtId="167" fontId="10"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A6A6A6"/>
      <rgbColor rgb="FF003366"/>
      <rgbColor rgb="FF339966"/>
      <rgbColor rgb="FF003300"/>
      <rgbColor rgb="FF333300"/>
      <rgbColor rgb="FF993300"/>
      <rgbColor rgb="FF993366"/>
      <rgbColor rgb="FF30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5" min="2" style="0" width="16"/>
  </cols>
  <sheetData>
    <row r="1" customFormat="false" ht="19.4"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t="s">
        <v>3</v>
      </c>
      <c r="C4" s="4" t="s">
        <v>4</v>
      </c>
      <c r="D4" s="4" t="s">
        <v>5</v>
      </c>
      <c r="E4" s="4" t="s">
        <v>6</v>
      </c>
    </row>
    <row r="5" customFormat="false" ht="15" hidden="false" customHeight="false" outlineLevel="0" collapsed="false">
      <c r="A5" s="5" t="s">
        <v>7</v>
      </c>
      <c r="B5" s="6" t="n">
        <f aca="false">利用実績!B5</f>
        <v>26604</v>
      </c>
      <c r="C5" s="6" t="n">
        <f aca="false">利用実績!C5</f>
        <v>31621</v>
      </c>
      <c r="D5" s="6" t="n">
        <f aca="false">利用実績!D5</f>
        <v>32266</v>
      </c>
      <c r="E5" s="7" t="n">
        <f aca="false">SUM(B5:D5)</f>
        <v>90491</v>
      </c>
    </row>
    <row r="6" customFormat="false" ht="15" hidden="false" customHeight="false" outlineLevel="0" collapsed="false">
      <c r="A6" s="5" t="s">
        <v>8</v>
      </c>
      <c r="B6" s="6" t="n">
        <f aca="false">利用実績!B7</f>
        <v>590</v>
      </c>
      <c r="C6" s="6" t="n">
        <f aca="false">利用実績!C7</f>
        <v>658</v>
      </c>
      <c r="D6" s="6" t="n">
        <f aca="false">利用実績!D7</f>
        <v>713</v>
      </c>
      <c r="E6" s="5"/>
    </row>
    <row r="7" customFormat="false" ht="15" hidden="false" customHeight="false" outlineLevel="0" collapsed="false">
      <c r="A7" s="5" t="s">
        <v>9</v>
      </c>
      <c r="B7" s="8" t="n">
        <f aca="false">利用実績!B9</f>
        <v>0.695754716981132</v>
      </c>
      <c r="C7" s="8" t="n">
        <f aca="false">利用実績!C9</f>
        <v>0.723076923076923</v>
      </c>
      <c r="D7" s="8" t="n">
        <f aca="false">利用実績!D9</f>
        <v>0.760127931769723</v>
      </c>
      <c r="E7" s="5"/>
    </row>
    <row r="8" customFormat="false" ht="15" hidden="false" customHeight="false" outlineLevel="0" collapsed="false">
      <c r="A8" s="5" t="s">
        <v>10</v>
      </c>
      <c r="B8" s="8" t="s">
        <v>11</v>
      </c>
      <c r="C8" s="8" t="n">
        <f aca="false">利用実績!C12</f>
        <v>0.886440677966102</v>
      </c>
      <c r="D8" s="8" t="n">
        <f aca="false">利用実績!D12</f>
        <v>0.907294832826748</v>
      </c>
      <c r="E8" s="5"/>
    </row>
    <row r="9" customFormat="false" ht="15" hidden="false" customHeight="false" outlineLevel="0" collapsed="false">
      <c r="A9" s="5" t="s">
        <v>12</v>
      </c>
      <c r="B9" s="6" t="n">
        <f aca="false">業務削減効果!B12</f>
        <v>4434</v>
      </c>
      <c r="C9" s="6" t="n">
        <f aca="false">業務削減効果!C12</f>
        <v>5270.16666666667</v>
      </c>
      <c r="D9" s="6" t="n">
        <f aca="false">業務削減効果!D12</f>
        <v>5377.66666666667</v>
      </c>
      <c r="E9" s="7" t="n">
        <f aca="false">SUM(B9:D9)</f>
        <v>15081.8333333333</v>
      </c>
    </row>
    <row r="10" customFormat="false" ht="15" hidden="false" customHeight="false" outlineLevel="0" collapsed="false">
      <c r="A10" s="5" t="s">
        <v>13</v>
      </c>
      <c r="B10" s="6" t="n">
        <f aca="false">業務削減効果!B15</f>
        <v>2217</v>
      </c>
      <c r="C10" s="6" t="n">
        <f aca="false">業務削減効果!C15</f>
        <v>2635.08333333333</v>
      </c>
      <c r="D10" s="6" t="n">
        <f aca="false">業務削減効果!D15</f>
        <v>2688.83333333333</v>
      </c>
      <c r="E10" s="7" t="n">
        <f aca="false">SUM(B10:D10)</f>
        <v>7540.91666666667</v>
      </c>
    </row>
    <row r="12" customFormat="false" ht="15" hidden="false" customHeight="false" outlineLevel="0" collapsed="false">
      <c r="A12" s="9" t="s">
        <v>14</v>
      </c>
    </row>
    <row r="13" customFormat="false" ht="31.5" hidden="false" customHeight="true" outlineLevel="0" collapsed="false">
      <c r="A13" s="10" t="s">
        <v>15</v>
      </c>
      <c r="B13" s="10"/>
      <c r="C13" s="10"/>
      <c r="D13" s="10"/>
      <c r="E13" s="10"/>
    </row>
    <row r="14" customFormat="false" ht="31.5" hidden="false" customHeight="true" outlineLevel="0" collapsed="false">
      <c r="A14" s="10" t="s">
        <v>16</v>
      </c>
      <c r="B14" s="10"/>
      <c r="C14" s="10"/>
      <c r="D14" s="10"/>
      <c r="E14" s="10"/>
    </row>
    <row r="15" customFormat="false" ht="31.5" hidden="false" customHeight="true" outlineLevel="0" collapsed="false">
      <c r="A15" s="10" t="s">
        <v>17</v>
      </c>
      <c r="B15" s="10"/>
      <c r="C15" s="10"/>
      <c r="D15" s="10"/>
      <c r="E15" s="10"/>
    </row>
    <row r="16" customFormat="false" ht="31.5" hidden="false" customHeight="true" outlineLevel="0" collapsed="false">
      <c r="A16" s="10" t="s">
        <v>18</v>
      </c>
      <c r="B16" s="10"/>
      <c r="C16" s="10"/>
      <c r="D16" s="10"/>
      <c r="E16" s="10"/>
    </row>
    <row r="18" customFormat="false" ht="15" hidden="false" customHeight="false" outlineLevel="0" collapsed="false">
      <c r="A18" s="9" t="s">
        <v>19</v>
      </c>
    </row>
    <row r="19" customFormat="false" ht="14.9" hidden="false" customHeight="false" outlineLevel="0" collapsed="false">
      <c r="A19" s="11" t="s">
        <v>20</v>
      </c>
      <c r="B19" s="11"/>
      <c r="C19" s="11"/>
      <c r="D19" s="11"/>
      <c r="E19" s="11"/>
    </row>
    <row r="20" customFormat="false" ht="14.9" hidden="false" customHeight="false" outlineLevel="0" collapsed="false">
      <c r="A20" s="11" t="s">
        <v>21</v>
      </c>
      <c r="B20" s="11"/>
      <c r="C20" s="11"/>
      <c r="D20" s="11"/>
      <c r="E20" s="11"/>
    </row>
    <row r="21" customFormat="false" ht="14.9" hidden="false" customHeight="false" outlineLevel="0" collapsed="false">
      <c r="A21" s="11" t="s">
        <v>22</v>
      </c>
      <c r="B21" s="11"/>
      <c r="C21" s="11"/>
      <c r="D21" s="11"/>
      <c r="E21" s="11"/>
    </row>
    <row r="22" customFormat="false" ht="14.9" hidden="false" customHeight="false" outlineLevel="0" collapsed="false">
      <c r="A22" s="11" t="s">
        <v>23</v>
      </c>
      <c r="B22" s="11"/>
      <c r="C22" s="11"/>
      <c r="D22" s="11"/>
      <c r="E22" s="11"/>
    </row>
    <row r="23" customFormat="false" ht="14.9" hidden="false" customHeight="false" outlineLevel="0" collapsed="false">
      <c r="A23" s="11" t="s">
        <v>24</v>
      </c>
      <c r="B23" s="11"/>
      <c r="C23" s="11"/>
      <c r="D23" s="11"/>
      <c r="E23" s="11"/>
    </row>
    <row r="24" customFormat="false" ht="14.9" hidden="false" customHeight="false" outlineLevel="0" collapsed="false">
      <c r="A24" s="11" t="s">
        <v>25</v>
      </c>
      <c r="B24" s="11"/>
      <c r="C24" s="11"/>
      <c r="D24" s="11"/>
      <c r="E24" s="11"/>
    </row>
    <row r="26" customFormat="false" ht="15" hidden="false" customHeight="false" outlineLevel="0" collapsed="false">
      <c r="A26" s="12" t="s">
        <v>26</v>
      </c>
    </row>
  </sheetData>
  <mergeCells count="10">
    <mergeCell ref="A13:E13"/>
    <mergeCell ref="A14:E14"/>
    <mergeCell ref="A15:E15"/>
    <mergeCell ref="A16:E16"/>
    <mergeCell ref="A19:E19"/>
    <mergeCell ref="A20:E20"/>
    <mergeCell ref="A21:E21"/>
    <mergeCell ref="A22:E22"/>
    <mergeCell ref="A23:E23"/>
    <mergeCell ref="A24:E2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4" min="2" style="0" width="14"/>
    <col collapsed="false" customWidth="true" hidden="false" outlineLevel="0" max="5" min="5" style="0" width="40"/>
  </cols>
  <sheetData>
    <row r="1" customFormat="false" ht="19.4" hidden="false" customHeight="false" outlineLevel="0" collapsed="false">
      <c r="A1" s="1" t="s">
        <v>27</v>
      </c>
    </row>
    <row r="2" customFormat="false" ht="15" hidden="false" customHeight="false" outlineLevel="0" collapsed="false">
      <c r="A2" s="12" t="s">
        <v>28</v>
      </c>
    </row>
    <row r="4" customFormat="false" ht="15" hidden="false" customHeight="false" outlineLevel="0" collapsed="false">
      <c r="A4" s="3" t="s">
        <v>29</v>
      </c>
      <c r="B4" s="4" t="s">
        <v>3</v>
      </c>
      <c r="C4" s="4" t="s">
        <v>4</v>
      </c>
      <c r="D4" s="4" t="s">
        <v>5</v>
      </c>
      <c r="E4" s="3" t="s">
        <v>30</v>
      </c>
    </row>
    <row r="5" customFormat="false" ht="15" hidden="false" customHeight="false" outlineLevel="0" collapsed="false">
      <c r="A5" s="5" t="s">
        <v>31</v>
      </c>
      <c r="B5" s="13" t="n">
        <v>26604</v>
      </c>
      <c r="C5" s="13" t="n">
        <v>31621</v>
      </c>
      <c r="D5" s="13" t="n">
        <v>32266</v>
      </c>
      <c r="E5" s="14" t="s">
        <v>32</v>
      </c>
    </row>
    <row r="6" customFormat="false" ht="15" hidden="false" customHeight="false" outlineLevel="0" collapsed="false">
      <c r="A6" s="5" t="s">
        <v>33</v>
      </c>
      <c r="B6" s="13" t="n">
        <v>52897</v>
      </c>
      <c r="C6" s="13" t="n">
        <v>62820</v>
      </c>
      <c r="D6" s="13" t="n">
        <v>64191</v>
      </c>
      <c r="E6" s="14" t="s">
        <v>34</v>
      </c>
    </row>
    <row r="7" customFormat="false" ht="15" hidden="false" customHeight="false" outlineLevel="0" collapsed="false">
      <c r="A7" s="5" t="s">
        <v>8</v>
      </c>
      <c r="B7" s="13" t="n">
        <v>590</v>
      </c>
      <c r="C7" s="13" t="n">
        <v>658</v>
      </c>
      <c r="D7" s="13" t="n">
        <v>713</v>
      </c>
      <c r="E7" s="14" t="s">
        <v>35</v>
      </c>
    </row>
    <row r="8" customFormat="false" ht="15" hidden="false" customHeight="false" outlineLevel="0" collapsed="false">
      <c r="A8" s="5" t="s">
        <v>36</v>
      </c>
      <c r="B8" s="13" t="n">
        <v>848</v>
      </c>
      <c r="C8" s="13" t="n">
        <v>910</v>
      </c>
      <c r="D8" s="13" t="n">
        <v>938</v>
      </c>
      <c r="E8" s="14" t="s">
        <v>37</v>
      </c>
    </row>
    <row r="9" customFormat="false" ht="15" hidden="false" customHeight="false" outlineLevel="0" collapsed="false">
      <c r="A9" s="5" t="s">
        <v>9</v>
      </c>
      <c r="B9" s="15" t="n">
        <f aca="false">IFERROR(B7/B8,"")</f>
        <v>0.695754716981132</v>
      </c>
      <c r="C9" s="15" t="n">
        <f aca="false">IFERROR(C7/C8,"")</f>
        <v>0.723076923076923</v>
      </c>
      <c r="D9" s="15" t="n">
        <f aca="false">IFERROR(D7/D8,"")</f>
        <v>0.760127931769723</v>
      </c>
      <c r="E9" s="14" t="s">
        <v>38</v>
      </c>
    </row>
    <row r="10" customFormat="false" ht="15" hidden="false" customHeight="false" outlineLevel="0" collapsed="false">
      <c r="A10" s="5" t="s">
        <v>39</v>
      </c>
      <c r="B10" s="13" t="n">
        <v>143</v>
      </c>
      <c r="C10" s="13" t="n">
        <v>149</v>
      </c>
      <c r="D10" s="13" t="n">
        <v>151</v>
      </c>
      <c r="E10" s="14" t="s">
        <v>40</v>
      </c>
    </row>
    <row r="11" customFormat="false" ht="15" hidden="false" customHeight="false" outlineLevel="0" collapsed="false">
      <c r="A11" s="5" t="s">
        <v>41</v>
      </c>
      <c r="B11" s="16" t="s">
        <v>11</v>
      </c>
      <c r="C11" s="13" t="n">
        <v>523</v>
      </c>
      <c r="D11" s="13" t="n">
        <v>597</v>
      </c>
      <c r="E11" s="17" t="s">
        <v>42</v>
      </c>
    </row>
    <row r="12" customFormat="false" ht="15" hidden="false" customHeight="false" outlineLevel="0" collapsed="false">
      <c r="A12" s="5" t="s">
        <v>10</v>
      </c>
      <c r="B12" s="15" t="s">
        <v>11</v>
      </c>
      <c r="C12" s="15" t="n">
        <f aca="false">IFERROR(C11/B7,"")</f>
        <v>0.886440677966102</v>
      </c>
      <c r="D12" s="15" t="n">
        <f aca="false">IFERROR(D11/C7,"")</f>
        <v>0.907294832826748</v>
      </c>
      <c r="E12" s="14" t="s">
        <v>43</v>
      </c>
    </row>
    <row r="13" customFormat="false" ht="15" hidden="false" customHeight="false" outlineLevel="0" collapsed="false">
      <c r="A13" s="5" t="s">
        <v>44</v>
      </c>
      <c r="B13" s="16" t="s">
        <v>11</v>
      </c>
      <c r="C13" s="13" t="n">
        <v>135</v>
      </c>
      <c r="D13" s="13" t="n">
        <v>87</v>
      </c>
      <c r="E13" s="14" t="s">
        <v>45</v>
      </c>
    </row>
    <row r="14" customFormat="false" ht="15" hidden="false" customHeight="false" outlineLevel="0" collapsed="false">
      <c r="A14" s="18" t="s">
        <v>46</v>
      </c>
      <c r="B14" s="19" t="n">
        <f aca="false">IFERROR(B5/B7,"")</f>
        <v>45.0915254237288</v>
      </c>
      <c r="C14" s="19" t="n">
        <f aca="false">IFERROR(C5/C7,"")</f>
        <v>48.0562310030395</v>
      </c>
      <c r="D14" s="19" t="n">
        <f aca="false">IFERROR(D5/D7,"")</f>
        <v>45.2538569424965</v>
      </c>
      <c r="E14" s="14" t="s">
        <v>47</v>
      </c>
    </row>
    <row r="15" customFormat="false" ht="15" hidden="false" customHeight="false" outlineLevel="0" collapsed="false">
      <c r="A15" s="5" t="s">
        <v>48</v>
      </c>
      <c r="B15" s="20" t="n">
        <v>0.189</v>
      </c>
      <c r="C15" s="20" t="n">
        <v>0.135</v>
      </c>
      <c r="D15" s="20" t="n">
        <v>0.12</v>
      </c>
      <c r="E15" s="14" t="s">
        <v>49</v>
      </c>
    </row>
    <row r="17" customFormat="false" ht="30" hidden="false" customHeight="true" outlineLevel="0" collapsed="false">
      <c r="A17" s="21" t="s">
        <v>50</v>
      </c>
      <c r="B17" s="21"/>
      <c r="C17" s="21"/>
      <c r="D17" s="21"/>
      <c r="E17" s="21"/>
    </row>
    <row r="18" customFormat="false" ht="15" hidden="false" customHeight="false" outlineLevel="0" collapsed="false">
      <c r="A18" s="21"/>
      <c r="B18" s="21"/>
      <c r="C18" s="21"/>
      <c r="D18" s="21"/>
      <c r="E18" s="21"/>
    </row>
  </sheetData>
  <mergeCells count="1">
    <mergeCell ref="A17:E18"/>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5" min="2" style="0" width="14"/>
    <col collapsed="false" customWidth="true" hidden="false" outlineLevel="0" max="6" min="6" style="0" width="38"/>
  </cols>
  <sheetData>
    <row r="1" customFormat="false" ht="19.4" hidden="false" customHeight="false" outlineLevel="0" collapsed="false">
      <c r="A1" s="1" t="s">
        <v>51</v>
      </c>
    </row>
    <row r="2" customFormat="false" ht="15" hidden="false" customHeight="false" outlineLevel="0" collapsed="false">
      <c r="A2" s="12" t="s">
        <v>52</v>
      </c>
    </row>
    <row r="4" customFormat="false" ht="15" hidden="false" customHeight="false" outlineLevel="0" collapsed="false">
      <c r="A4" s="9" t="s">
        <v>53</v>
      </c>
    </row>
    <row r="5" customFormat="false" ht="15" hidden="false" customHeight="false" outlineLevel="0" collapsed="false">
      <c r="A5" s="18" t="s">
        <v>54</v>
      </c>
      <c r="B5" s="22" t="n">
        <v>10</v>
      </c>
      <c r="C5" s="14" t="s">
        <v>55</v>
      </c>
    </row>
    <row r="6" customFormat="false" ht="15" hidden="false" customHeight="false" outlineLevel="0" collapsed="false">
      <c r="A6" s="18" t="s">
        <v>56</v>
      </c>
      <c r="B6" s="22" t="n">
        <v>5</v>
      </c>
      <c r="C6" s="14" t="s">
        <v>57</v>
      </c>
    </row>
    <row r="7" customFormat="false" ht="15" hidden="false" customHeight="false" outlineLevel="0" collapsed="false">
      <c r="A7" s="18" t="s">
        <v>58</v>
      </c>
      <c r="B7" s="22" t="n">
        <v>7.75</v>
      </c>
      <c r="C7" s="17" t="s">
        <v>59</v>
      </c>
    </row>
    <row r="8" customFormat="false" ht="15" hidden="false" customHeight="false" outlineLevel="0" collapsed="false">
      <c r="A8" s="5" t="s">
        <v>60</v>
      </c>
      <c r="B8" s="22" t="n">
        <v>3000</v>
      </c>
      <c r="C8" s="14" t="s">
        <v>61</v>
      </c>
    </row>
    <row r="10" customFormat="false" ht="15" hidden="false" customHeight="false" outlineLevel="0" collapsed="false">
      <c r="A10" s="3" t="s">
        <v>62</v>
      </c>
      <c r="B10" s="4" t="s">
        <v>3</v>
      </c>
      <c r="C10" s="4" t="s">
        <v>4</v>
      </c>
      <c r="D10" s="4" t="s">
        <v>5</v>
      </c>
      <c r="E10" s="4" t="s">
        <v>6</v>
      </c>
      <c r="F10" s="3" t="s">
        <v>30</v>
      </c>
    </row>
    <row r="11" customFormat="false" ht="15" hidden="false" customHeight="false" outlineLevel="0" collapsed="false">
      <c r="A11" s="5" t="s">
        <v>7</v>
      </c>
      <c r="B11" s="6" t="n">
        <f aca="false">利用実績!B5</f>
        <v>26604</v>
      </c>
      <c r="C11" s="6" t="n">
        <f aca="false">利用実績!C5</f>
        <v>31621</v>
      </c>
      <c r="D11" s="6" t="n">
        <f aca="false">利用実績!D5</f>
        <v>32266</v>
      </c>
      <c r="E11" s="7" t="n">
        <f aca="false">SUM(B11:D11)</f>
        <v>90491</v>
      </c>
      <c r="F11" s="14" t="s">
        <v>63</v>
      </c>
    </row>
    <row r="12" customFormat="false" ht="15" hidden="false" customHeight="false" outlineLevel="0" collapsed="false">
      <c r="A12" s="5" t="s">
        <v>12</v>
      </c>
      <c r="B12" s="23" t="n">
        <f aca="false">B11*$B$5/60</f>
        <v>4434</v>
      </c>
      <c r="C12" s="23" t="n">
        <f aca="false">C11*$B$5/60</f>
        <v>5270.16666666667</v>
      </c>
      <c r="D12" s="23" t="n">
        <f aca="false">D11*$B$5/60</f>
        <v>5377.66666666667</v>
      </c>
      <c r="E12" s="7" t="n">
        <f aca="false">SUM(B12:D12)</f>
        <v>15081.8333333333</v>
      </c>
      <c r="F12" s="14" t="s">
        <v>64</v>
      </c>
    </row>
    <row r="13" customFormat="false" ht="15" hidden="false" customHeight="false" outlineLevel="0" collapsed="false">
      <c r="A13" s="5" t="s">
        <v>65</v>
      </c>
      <c r="B13" s="23" t="n">
        <f aca="false">B12/$B$7</f>
        <v>572.129032258065</v>
      </c>
      <c r="C13" s="23" t="n">
        <f aca="false">C12/$B$7</f>
        <v>680.021505376344</v>
      </c>
      <c r="D13" s="23" t="n">
        <f aca="false">D12/$B$7</f>
        <v>693.89247311828</v>
      </c>
      <c r="E13" s="7" t="n">
        <f aca="false">SUM(B13:D13)</f>
        <v>1946.04301075269</v>
      </c>
      <c r="F13" s="14" t="s">
        <v>66</v>
      </c>
    </row>
    <row r="14" customFormat="false" ht="15" hidden="false" customHeight="false" outlineLevel="0" collapsed="false">
      <c r="A14" s="5" t="s">
        <v>67</v>
      </c>
      <c r="B14" s="23" t="n">
        <f aca="false">B12*$B$8</f>
        <v>13302000</v>
      </c>
      <c r="C14" s="23" t="n">
        <f aca="false">C12*$B$8</f>
        <v>15810500</v>
      </c>
      <c r="D14" s="23" t="n">
        <f aca="false">D12*$B$8</f>
        <v>16133000</v>
      </c>
      <c r="E14" s="7" t="n">
        <f aca="false">SUM(B14:D14)</f>
        <v>45245500</v>
      </c>
      <c r="F14" s="14" t="s">
        <v>68</v>
      </c>
    </row>
    <row r="15" customFormat="false" ht="15" hidden="false" customHeight="false" outlineLevel="0" collapsed="false">
      <c r="A15" s="5" t="s">
        <v>13</v>
      </c>
      <c r="B15" s="23" t="n">
        <f aca="false">B11*$B$6/60</f>
        <v>2217</v>
      </c>
      <c r="C15" s="23" t="n">
        <f aca="false">C11*$B$6/60</f>
        <v>2635.08333333333</v>
      </c>
      <c r="D15" s="23" t="n">
        <f aca="false">D11*$B$6/60</f>
        <v>2688.83333333333</v>
      </c>
      <c r="E15" s="7" t="n">
        <f aca="false">SUM(B15:D15)</f>
        <v>7540.91666666667</v>
      </c>
      <c r="F15" s="14" t="s">
        <v>69</v>
      </c>
    </row>
    <row r="16" customFormat="false" ht="15" hidden="false" customHeight="false" outlineLevel="0" collapsed="false">
      <c r="A16" s="5" t="s">
        <v>70</v>
      </c>
      <c r="B16" s="23" t="n">
        <f aca="false">B15/$B$7</f>
        <v>286.064516129032</v>
      </c>
      <c r="C16" s="23" t="n">
        <f aca="false">C15/$B$7</f>
        <v>340.010752688172</v>
      </c>
      <c r="D16" s="23" t="n">
        <f aca="false">D15/$B$7</f>
        <v>346.94623655914</v>
      </c>
      <c r="E16" s="7" t="n">
        <f aca="false">SUM(B16:D16)</f>
        <v>973.021505376344</v>
      </c>
      <c r="F16" s="14"/>
    </row>
    <row r="17" customFormat="false" ht="15" hidden="false" customHeight="false" outlineLevel="0" collapsed="false">
      <c r="A17" s="5" t="s">
        <v>71</v>
      </c>
      <c r="B17" s="23" t="n">
        <f aca="false">B15*$B$8</f>
        <v>6651000</v>
      </c>
      <c r="C17" s="23" t="n">
        <f aca="false">C15*$B$8</f>
        <v>7905250</v>
      </c>
      <c r="D17" s="23" t="n">
        <f aca="false">D15*$B$8</f>
        <v>8066500</v>
      </c>
      <c r="E17" s="7" t="n">
        <f aca="false">SUM(B17:D17)</f>
        <v>22622750</v>
      </c>
      <c r="F17" s="14"/>
    </row>
    <row r="19" customFormat="false" ht="30" hidden="false" customHeight="true" outlineLevel="0" collapsed="false">
      <c r="A19" s="24" t="s">
        <v>72</v>
      </c>
      <c r="B19" s="24"/>
      <c r="C19" s="24"/>
      <c r="D19" s="24"/>
      <c r="E19" s="24"/>
      <c r="F19" s="24"/>
    </row>
    <row r="20" customFormat="false" ht="30" hidden="false" customHeight="true" outlineLevel="0" collapsed="false">
      <c r="A20" s="24" t="s">
        <v>73</v>
      </c>
      <c r="B20" s="24"/>
      <c r="C20" s="24"/>
      <c r="D20" s="24"/>
      <c r="E20" s="24"/>
      <c r="F20" s="24"/>
    </row>
    <row r="21" customFormat="false" ht="30" hidden="false" customHeight="true" outlineLevel="0" collapsed="false">
      <c r="A21" s="24" t="s">
        <v>74</v>
      </c>
      <c r="B21" s="24"/>
      <c r="C21" s="24"/>
      <c r="D21" s="24"/>
      <c r="E21" s="24"/>
      <c r="F21" s="24"/>
    </row>
  </sheetData>
  <mergeCells count="3">
    <mergeCell ref="A19:F19"/>
    <mergeCell ref="A20:F20"/>
    <mergeCell ref="A21:F2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2" min="2" style="0" width="70"/>
  </cols>
  <sheetData>
    <row r="1" customFormat="false" ht="19.4" hidden="false" customHeight="false" outlineLevel="0" collapsed="false">
      <c r="A1" s="1" t="s">
        <v>75</v>
      </c>
    </row>
    <row r="3" customFormat="false" ht="15" hidden="false" customHeight="false" outlineLevel="0" collapsed="false">
      <c r="A3" s="3" t="s">
        <v>76</v>
      </c>
      <c r="B3" s="3" t="s">
        <v>77</v>
      </c>
    </row>
    <row r="4" customFormat="false" ht="31.5" hidden="false" customHeight="true" outlineLevel="0" collapsed="false">
      <c r="A4" s="25" t="s">
        <v>78</v>
      </c>
      <c r="B4" s="26" t="s">
        <v>79</v>
      </c>
    </row>
    <row r="5" customFormat="false" ht="31.5" hidden="false" customHeight="true" outlineLevel="0" collapsed="false">
      <c r="A5" s="25" t="s">
        <v>80</v>
      </c>
      <c r="B5" s="26" t="s">
        <v>81</v>
      </c>
    </row>
    <row r="6" customFormat="false" ht="31.5" hidden="false" customHeight="true" outlineLevel="0" collapsed="false">
      <c r="A6" s="25" t="s">
        <v>82</v>
      </c>
      <c r="B6" s="26" t="s">
        <v>83</v>
      </c>
    </row>
    <row r="7" customFormat="false" ht="31.5" hidden="false" customHeight="true" outlineLevel="0" collapsed="false">
      <c r="A7" s="25" t="s">
        <v>84</v>
      </c>
      <c r="B7" s="26" t="s">
        <v>85</v>
      </c>
    </row>
    <row r="8" customFormat="false" ht="31.5" hidden="false" customHeight="true" outlineLevel="0" collapsed="false">
      <c r="A8" s="25" t="s">
        <v>86</v>
      </c>
      <c r="B8" s="26" t="s">
        <v>87</v>
      </c>
    </row>
    <row r="9" customFormat="false" ht="31.5" hidden="false" customHeight="true" outlineLevel="0" collapsed="false">
      <c r="A9" s="25" t="s">
        <v>88</v>
      </c>
      <c r="B9" s="27" t="s">
        <v>89</v>
      </c>
    </row>
    <row r="11" customFormat="false" ht="36" hidden="false" customHeight="true" outlineLevel="0" collapsed="false">
      <c r="A11" s="10" t="s">
        <v>90</v>
      </c>
      <c r="B11" s="10"/>
    </row>
    <row r="12" customFormat="false" ht="15" hidden="false" customHeight="false" outlineLevel="0" collapsed="false">
      <c r="A12" s="10"/>
      <c r="B12" s="10"/>
    </row>
  </sheetData>
  <mergeCells count="1">
    <mergeCell ref="A11:B1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8"/>
    <col collapsed="false" customWidth="true" hidden="false" outlineLevel="0" max="2" min="2" style="0" width="72"/>
  </cols>
  <sheetData>
    <row r="1" customFormat="false" ht="17.35" hidden="false" customHeight="false" outlineLevel="0" collapsed="false">
      <c r="A1" s="1" t="s">
        <v>91</v>
      </c>
    </row>
    <row r="3" customFormat="false" ht="15" hidden="false" customHeight="false" outlineLevel="0" collapsed="false">
      <c r="A3" s="3" t="s">
        <v>92</v>
      </c>
      <c r="B3" s="3" t="s">
        <v>93</v>
      </c>
    </row>
    <row r="4" customFormat="false" ht="43.5" hidden="false" customHeight="true" outlineLevel="0" collapsed="false">
      <c r="A4" s="25" t="s">
        <v>94</v>
      </c>
      <c r="B4" s="27" t="s">
        <v>95</v>
      </c>
    </row>
    <row r="5" customFormat="false" ht="43.5" hidden="false" customHeight="true" outlineLevel="0" collapsed="false">
      <c r="A5" s="25" t="s">
        <v>96</v>
      </c>
      <c r="B5" s="26" t="s">
        <v>97</v>
      </c>
    </row>
    <row r="6" customFormat="false" ht="43.5" hidden="false" customHeight="true" outlineLevel="0" collapsed="false">
      <c r="A6" s="25" t="s">
        <v>98</v>
      </c>
      <c r="B6" s="26" t="s">
        <v>99</v>
      </c>
    </row>
    <row r="7" customFormat="false" ht="43.5" hidden="false" customHeight="true" outlineLevel="0" collapsed="false">
      <c r="A7" s="25" t="s">
        <v>100</v>
      </c>
      <c r="B7" s="26" t="s">
        <v>101</v>
      </c>
    </row>
    <row r="8" customFormat="false" ht="43.5" hidden="false" customHeight="true" outlineLevel="0" collapsed="false">
      <c r="A8" s="25" t="s">
        <v>102</v>
      </c>
      <c r="B8" s="27" t="s">
        <v>103</v>
      </c>
    </row>
    <row r="9" customFormat="false" ht="43.5" hidden="false" customHeight="true" outlineLevel="0" collapsed="false">
      <c r="A9" s="25" t="s">
        <v>104</v>
      </c>
      <c r="B9" s="27" t="s">
        <v>105</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62"/>
    <col collapsed="false" customWidth="true" hidden="false" outlineLevel="0" max="4" min="4" style="0" width="18"/>
  </cols>
  <sheetData>
    <row r="1" customFormat="false" ht="17.35" hidden="false" customHeight="false" outlineLevel="0" collapsed="false">
      <c r="A1" s="1" t="s">
        <v>106</v>
      </c>
    </row>
    <row r="3" customFormat="false" ht="15" hidden="false" customHeight="false" outlineLevel="0" collapsed="false">
      <c r="A3" s="4" t="s">
        <v>107</v>
      </c>
      <c r="B3" s="3" t="s">
        <v>108</v>
      </c>
      <c r="C3" s="3" t="s">
        <v>93</v>
      </c>
      <c r="D3" s="3" t="s">
        <v>109</v>
      </c>
    </row>
    <row r="4" customFormat="false" ht="57.75" hidden="false" customHeight="true" outlineLevel="0" collapsed="false">
      <c r="A4" s="28" t="n">
        <v>1</v>
      </c>
      <c r="B4" s="29" t="s">
        <v>110</v>
      </c>
      <c r="C4" s="26" t="s">
        <v>111</v>
      </c>
      <c r="D4" s="30" t="s">
        <v>112</v>
      </c>
    </row>
    <row r="5" customFormat="false" ht="57.75" hidden="false" customHeight="true" outlineLevel="0" collapsed="false">
      <c r="A5" s="30" t="n">
        <v>2</v>
      </c>
      <c r="B5" s="31" t="s">
        <v>113</v>
      </c>
      <c r="C5" s="26" t="s">
        <v>114</v>
      </c>
      <c r="D5" s="30" t="s">
        <v>115</v>
      </c>
    </row>
    <row r="6" customFormat="false" ht="57.75" hidden="false" customHeight="true" outlineLevel="0" collapsed="false">
      <c r="A6" s="30" t="n">
        <v>3</v>
      </c>
      <c r="B6" s="29" t="s">
        <v>116</v>
      </c>
      <c r="C6" s="26" t="s">
        <v>117</v>
      </c>
      <c r="D6" s="30" t="s">
        <v>118</v>
      </c>
    </row>
    <row r="7" customFormat="false" ht="57.75" hidden="false" customHeight="true" outlineLevel="0" collapsed="false">
      <c r="A7" s="30" t="n">
        <v>4</v>
      </c>
      <c r="B7" s="29" t="s">
        <v>119</v>
      </c>
      <c r="C7" s="27" t="s">
        <v>120</v>
      </c>
      <c r="D7" s="30" t="s">
        <v>121</v>
      </c>
    </row>
    <row r="8" customFormat="false" ht="57.75" hidden="false" customHeight="true" outlineLevel="0" collapsed="false">
      <c r="A8" s="30" t="n">
        <v>5</v>
      </c>
      <c r="B8" s="31" t="s">
        <v>122</v>
      </c>
      <c r="C8" s="27" t="s">
        <v>123</v>
      </c>
      <c r="D8" s="30" t="s">
        <v>124</v>
      </c>
    </row>
    <row r="9" customFormat="false" ht="57.75" hidden="false" customHeight="true" outlineLevel="0" collapsed="false">
      <c r="A9" s="30" t="n">
        <v>6</v>
      </c>
      <c r="B9" s="29" t="s">
        <v>125</v>
      </c>
      <c r="C9" s="26" t="s">
        <v>126</v>
      </c>
      <c r="D9" s="30" t="s">
        <v>127</v>
      </c>
    </row>
    <row r="12" customFormat="false" ht="15" hidden="false" customHeight="false" outlineLevel="0" collapsed="false">
      <c r="B12" s="9" t="s">
        <v>128</v>
      </c>
    </row>
    <row r="13" customFormat="false" ht="15" hidden="false" customHeight="false" outlineLevel="0" collapsed="false">
      <c r="B13" s="12" t="s">
        <v>129</v>
      </c>
    </row>
    <row r="14" customFormat="false" ht="15" hidden="false" customHeight="false" outlineLevel="0" collapsed="false">
      <c r="A14" s="3"/>
      <c r="B14" s="3" t="s">
        <v>62</v>
      </c>
      <c r="C14" s="3" t="s">
        <v>130</v>
      </c>
      <c r="D14" s="3" t="s">
        <v>30</v>
      </c>
    </row>
    <row r="15" customFormat="false" ht="15" hidden="false" customHeight="false" outlineLevel="0" collapsed="false">
      <c r="A15" s="5"/>
      <c r="B15" s="5" t="s">
        <v>131</v>
      </c>
      <c r="C15" s="32" t="n">
        <v>2000</v>
      </c>
      <c r="D15" s="33" t="s">
        <v>132</v>
      </c>
    </row>
    <row r="16" customFormat="false" ht="25.35" hidden="false" customHeight="false" outlineLevel="0" collapsed="false">
      <c r="A16" s="5"/>
      <c r="B16" s="5" t="s">
        <v>133</v>
      </c>
      <c r="C16" s="34" t="n">
        <f aca="false">利用実績!D9</f>
        <v>0.760127931769723</v>
      </c>
      <c r="D16" s="35" t="s">
        <v>134</v>
      </c>
    </row>
    <row r="17" customFormat="false" ht="15" hidden="false" customHeight="false" outlineLevel="0" collapsed="false">
      <c r="A17" s="5"/>
      <c r="B17" s="5" t="s">
        <v>135</v>
      </c>
      <c r="C17" s="23" t="n">
        <f aca="false">C15*C16</f>
        <v>1520.25586353945</v>
      </c>
      <c r="D17" s="33"/>
    </row>
    <row r="18" customFormat="false" ht="15" hidden="false" customHeight="false" outlineLevel="0" collapsed="false">
      <c r="A18" s="5"/>
      <c r="B18" s="18" t="s">
        <v>136</v>
      </c>
      <c r="C18" s="36" t="n">
        <f aca="false">利用実績!D14</f>
        <v>45.2538569424965</v>
      </c>
      <c r="D18" s="35" t="s">
        <v>137</v>
      </c>
    </row>
    <row r="19" customFormat="false" ht="15" hidden="false" customHeight="false" outlineLevel="0" collapsed="false">
      <c r="A19" s="5"/>
      <c r="B19" s="5" t="s">
        <v>138</v>
      </c>
      <c r="C19" s="23" t="n">
        <f aca="false">C17*C18</f>
        <v>68797.4413646056</v>
      </c>
      <c r="D19" s="33"/>
    </row>
    <row r="20" customFormat="false" ht="15" hidden="false" customHeight="false" outlineLevel="0" collapsed="false">
      <c r="A20" s="5"/>
      <c r="B20" s="5" t="s">
        <v>139</v>
      </c>
      <c r="C20" s="23" t="n">
        <f aca="false">C19*業務削減効果!B6/60</f>
        <v>5733.12011371713</v>
      </c>
      <c r="D20" s="35" t="s">
        <v>140</v>
      </c>
    </row>
    <row r="21" customFormat="false" ht="15" hidden="false" customHeight="false" outlineLevel="0" collapsed="false">
      <c r="A21" s="5"/>
      <c r="B21" s="5" t="s">
        <v>141</v>
      </c>
      <c r="C21" s="23" t="n">
        <f aca="false">C20/業務削減効果!B7</f>
        <v>739.757434028017</v>
      </c>
      <c r="D21" s="33"/>
    </row>
    <row r="22" customFormat="false" ht="36" hidden="false" customHeight="true" outlineLevel="0" collapsed="false">
      <c r="B22" s="24" t="s">
        <v>142</v>
      </c>
      <c r="C22" s="24"/>
      <c r="D22" s="24"/>
    </row>
    <row r="23" customFormat="false" ht="15" hidden="false" customHeight="false" outlineLevel="0" collapsed="false">
      <c r="B23" s="24"/>
      <c r="C23" s="24"/>
      <c r="D23" s="24"/>
    </row>
  </sheetData>
  <mergeCells count="1">
    <mergeCell ref="B22:D2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2026-10-01T02:37:52Z</dcterms:created>
  <dc:creator>openpyxl</dc:creator>
  <dc:description/>
  <dc:language>en-US</dc:language>
  <cp:lastModifiedBy/>
  <dcterms:modified xsi:type="dcterms:W3CDTF">2026-10-01T02:37:52Z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